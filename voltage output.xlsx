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<sst xmlns="http://schemas.openxmlformats.org/spreadsheetml/2006/main" count="12" uniqueCount="12">
  <si>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Vref:</t>
  </si>
  <si>
    <t xml:space="preserve">bit</t>
  </si>
  <si>
    <t xml:space="preserve">amplified</t>
  </si>
  <si>
    <t xml:space="preserve">dac out dec</t>
  </si>
  <si>
    <t xml:space="preserve">dac out bit</t>
  </si>
  <si>
    <t xml:space="preserve">dac out V</t>
  </si>
  <si>
    <t xml:space="preserve">expected</t>
  </si>
  <si>
    <t xml:space="preserve">amped</t>
  </si>
  <si>
    <t xml:space="preserve">Expected amped</t>
  </si>
  <si>
    <t xml:space="preserve">Accuracy</t>
  </si>
  <si>
    <t xml:space="preserve">MSD</t>
  </si>
  <si>
    <t xml:space="preserve">Amplification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</si>
</sst>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000000"/>
    <numFmt numFmtId="166" formatCode="0000000000"/>
    <numFmt numFmtId="167" formatCode="0.000"/>
    <numFmt numFmtId="168" formatCode="0.00%"/>
  </numFmts>
  <fonts count="6">
    <font>
      <sz val="10"/>
      <name val="DejaVu 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DejaVu Sans"/>
      <family val="2"/>
    </font>
    <font>
      <sz val="10"/>
      <name val="DejaVu Serif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3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L7" activeCellId="0" sqref="L7"/>
    </sheetView>
  </sheetViews>
  <sheetFormatPr defaultColWidth="10.08203125" defaultRowHeight="12.8" customHeight="false" zeroHeight="false" outlineLevelRow="0" outlineLevelCol="0"/>
  <cols>
    <col collapsed="false" customWidth="true" hidden="false" outlineLevel="0" max="3" min="3" style="0" width="10.83"/>
    <col collapsed="false" customWidth="true" hidden="false" outlineLevel="0" max="7" min="7" style="0" width="10.83"/>
    <col collapsed="false" customWidth="true" hidden="false" outlineLevel="0" max="8" min="8" style="1" width="9.62"/>
    <col collapsed="false" customWidth="true" hidden="false" outlineLevel="0" max="13" min="13" style="0" width="15.34"/>
    <col collapsed="false" customWidth="true" hidden="false" outlineLevel="0" max="14" min="14" style="2" width="15.34"/>
    <col collapsed="false" customWidth="true" hidden="false" outlineLevel="0" max="15" min="15" style="3" width="15.34"/>
    <col collapsed="false" customWidth="true" hidden="false" outlineLevel="0" max="16" min="16" style="3" width="18.62"/>
    <col collapsed="false" customWidth="true" hidden="false" outlineLevel="0" max="17" min="17" style="3" width="19.84"/>
    <col collapsed="false" customWidth="true" hidden="false" outlineLevel="0" max="18" min="18" style="0" width="18.62"/>
    <col collapsed="false" customWidth="false" hidden="false" outlineLevel="0" max="19" min="19" style="4" width="10.08"/>
  </cols>
  <sheetData>
    <row r="1" customFormat="false" ht="12.8" hidden="false" customHeight="false" outlineLevel="0" collapsed="false">
      <c r="A1" s="0" t="n">
        <f aca="false">1/12</f>
        <v>0.0833333333333333</v>
      </c>
      <c r="C1" s="0" t="s">
        <v>0</v>
      </c>
      <c r="D1" s="0" t="n">
        <v>3.3</v>
      </c>
      <c r="H1" s="5" t="s">
        <v>1</v>
      </c>
      <c r="J1" s="0" t="s">
        <v>2</v>
      </c>
      <c r="M1" s="6" t="s">
        <v>3</v>
      </c>
      <c r="N1" s="7" t="s">
        <v>4</v>
      </c>
      <c r="O1" s="8" t="s">
        <v>5</v>
      </c>
      <c r="P1" s="8" t="s">
        <v>6</v>
      </c>
      <c r="Q1" s="8" t="s">
        <v>7</v>
      </c>
      <c r="R1" s="6" t="s">
        <v>8</v>
      </c>
      <c r="S1" s="9" t="s">
        <v>9</v>
      </c>
    </row>
    <row r="2" customFormat="false" ht="12.8" hidden="false" customHeight="false" outlineLevel="0" collapsed="false">
      <c r="F2" s="0" t="s">
        <v>10</v>
      </c>
      <c r="G2" s="0" t="n">
        <f aca="false">D1/2</f>
        <v>1.65</v>
      </c>
      <c r="H2" s="10" t="n">
        <v>512</v>
      </c>
      <c r="J2" s="0" t="n">
        <f aca="false">G2*D$3</f>
        <v>5.00488758553275</v>
      </c>
      <c r="L2" s="0" t="n">
        <v>120</v>
      </c>
      <c r="M2" s="0" t="n">
        <f aca="false">ROUND((1023/120)*L2,0)</f>
        <v>1023</v>
      </c>
      <c r="N2" s="2" t="n">
        <v>1111111111</v>
      </c>
      <c r="O2" s="3" t="n">
        <f aca="false">(IF(_xlfn.BITAND(M2,H$2)=H$2, G$2, 0)+IF(_xlfn.BITAND(M2,H$3)=H$3, G$3, 0)+IF(_xlfn.BITAND(M2,H$4)=H$4, G$4, 0)+IF(_xlfn.BITAND(M2,H$5)=H$5, G$5, 0)+IF(_xlfn.BITAND(M2,H$6)=H$6, G$6, 0)+IF(_xlfn.BITAND(M2,H$7)=H$7, G$7, 0)+IF(_xlfn.BITAND(M2,H$8)=H$8, G$8, 0)+IF(_xlfn.BITAND(M2,H$9)=H$9, G$9, 0)+IF(_xlfn.BITAND(M2,H$10)=H$10, G$10, 0)+IF(_xlfn.BITAND(M2,H$11)=H$11, G$11, 0))</f>
        <v>3.2935546875</v>
      </c>
      <c r="P2" s="3" t="n">
        <f aca="false">(G$12/120*L2)</f>
        <v>3.29677734375</v>
      </c>
      <c r="Q2" s="3" t="n">
        <f aca="false">O2*D$3</f>
        <v>9.99022482893451</v>
      </c>
      <c r="R2" s="3" t="n">
        <f aca="false">(1/12)*L2</f>
        <v>10</v>
      </c>
      <c r="S2" s="4" t="n">
        <f aca="false">1/(Q2/R2)</f>
        <v>1.00097847358121</v>
      </c>
    </row>
    <row r="3" customFormat="false" ht="12.8" hidden="false" customHeight="false" outlineLevel="0" collapsed="false">
      <c r="C3" s="0" t="s">
        <v>11</v>
      </c>
      <c r="D3" s="0" t="n">
        <f aca="false">10/G$12</f>
        <v>3.03326520335318</v>
      </c>
      <c r="G3" s="0" t="n">
        <f aca="false">G2/2</f>
        <v>0.825</v>
      </c>
      <c r="H3" s="10" t="n">
        <v>256</v>
      </c>
      <c r="J3" s="0" t="n">
        <f aca="false">G3*D$3</f>
        <v>2.50244379276637</v>
      </c>
      <c r="L3" s="0" t="n">
        <v>119</v>
      </c>
      <c r="M3" s="0" t="n">
        <f aca="false">ROUND((1023/120)*L3,0)</f>
        <v>1014</v>
      </c>
      <c r="N3" s="2" t="n">
        <v>111110110</v>
      </c>
      <c r="O3" s="3" t="n">
        <f aca="false">(IF(_xlfn.BITAND(M3,H$2)=H$2, G$2, 0)+IF(_xlfn.BITAND(M3,H$3)=H$3, G$3, 0)+IF(_xlfn.BITAND(M3,H$4)=H$4, G$4, 0)+IF(_xlfn.BITAND(M3,H$5)=H$5, G$5, 0)+IF(_xlfn.BITAND(M3,H$6)=H$6, G$6, 0)+IF(_xlfn.BITAND(M3,H$7)=H$7, G$7, 0)+IF(_xlfn.BITAND(M3,H$8)=H$8, G$8, 0)+IF(_xlfn.BITAND(M3,H$9)=H$9, G$9, 0)+IF(_xlfn.BITAND(M3,H$10)=H$10, G$10, 0)+IF(_xlfn.BITAND(M3,H$11)=H$11, G$11, 0))</f>
        <v>3.2677734375</v>
      </c>
      <c r="P3" s="3" t="n">
        <f aca="false">(G$12/120*L3)</f>
        <v>3.26930419921875</v>
      </c>
      <c r="Q3" s="3" t="n">
        <f aca="false">O3*D$3</f>
        <v>9.91202346041056</v>
      </c>
      <c r="R3" s="3" t="n">
        <f aca="false">(1/12)*L3</f>
        <v>9.91666666666667</v>
      </c>
      <c r="S3" s="4" t="n">
        <f aca="false">1/(Q3/R3)</f>
        <v>1.0004684418146</v>
      </c>
    </row>
    <row r="4" customFormat="false" ht="12.8" hidden="false" customHeight="false" outlineLevel="0" collapsed="false">
      <c r="G4" s="0" t="n">
        <f aca="false">G3/2</f>
        <v>0.4125</v>
      </c>
      <c r="H4" s="10" t="n">
        <v>128</v>
      </c>
      <c r="J4" s="0" t="n">
        <f aca="false">G4*D$3</f>
        <v>1.25122189638319</v>
      </c>
      <c r="L4" s="0" t="n">
        <v>118</v>
      </c>
      <c r="M4" s="0" t="n">
        <f aca="false">ROUND((1023/120)*L4,0)</f>
        <v>1006</v>
      </c>
      <c r="N4" s="11" t="n">
        <v>1111101110</v>
      </c>
      <c r="O4" s="3" t="n">
        <f aca="false">(IF(_xlfn.BITAND(M4,H$2)=H$2, G$2, 0)+IF(_xlfn.BITAND(M4,H$3)=H$3, G$3, 0)+IF(_xlfn.BITAND(M4,H$4)=H$4, G$4, 0)+IF(_xlfn.BITAND(M4,H$5)=H$5, G$5, 0)+IF(_xlfn.BITAND(M4,H$6)=H$6, G$6, 0)+IF(_xlfn.BITAND(M4,H$7)=H$7, G$7, 0)+IF(_xlfn.BITAND(M4,H$8)=H$8, G$8, 0)+IF(_xlfn.BITAND(M4,H$9)=H$9, G$9, 0)+IF(_xlfn.BITAND(M4,H$10)=H$10, G$10, 0)+IF(_xlfn.BITAND(M4,H$11)=H$11, G$11, 0))</f>
        <v>3.2419921875</v>
      </c>
      <c r="P4" s="3" t="n">
        <f aca="false">(G$12/120*L4)</f>
        <v>3.2418310546875</v>
      </c>
      <c r="Q4" s="3" t="n">
        <f aca="false">O4*D$3</f>
        <v>9.83382209188661</v>
      </c>
      <c r="R4" s="3" t="n">
        <f aca="false">(1/12)*L4</f>
        <v>9.83333333333333</v>
      </c>
      <c r="S4" s="4" t="n">
        <f aca="false">1/(Q4/R4)</f>
        <v>0.999950298210736</v>
      </c>
    </row>
    <row r="5" customFormat="false" ht="12.8" hidden="false" customHeight="false" outlineLevel="0" collapsed="false">
      <c r="G5" s="0" t="n">
        <f aca="false">G4/2</f>
        <v>0.20625</v>
      </c>
      <c r="H5" s="10" t="n">
        <v>64</v>
      </c>
      <c r="J5" s="0" t="n">
        <f aca="false">G5*D$3</f>
        <v>0.625610948191593</v>
      </c>
      <c r="L5" s="0" t="n">
        <v>117</v>
      </c>
      <c r="M5" s="0" t="n">
        <f aca="false">ROUND((1023/120)*L5,0)</f>
        <v>997</v>
      </c>
      <c r="N5" s="11" t="n">
        <v>1111100101</v>
      </c>
      <c r="O5" s="3" t="n">
        <f aca="false">(IF(_xlfn.BITAND(M5,H$2)=H$2, G$2, 0)+IF(_xlfn.BITAND(M5,H$3)=H$3, G$3, 0)+IF(_xlfn.BITAND(M5,H$4)=H$4, G$4, 0)+IF(_xlfn.BITAND(M5,H$5)=H$5, G$5, 0)+IF(_xlfn.BITAND(M5,H$6)=H$6, G$6, 0)+IF(_xlfn.BITAND(M5,H$7)=H$7, G$7, 0)+IF(_xlfn.BITAND(M5,H$8)=H$8, G$8, 0)+IF(_xlfn.BITAND(M5,H$9)=H$9, G$9, 0)+IF(_xlfn.BITAND(M5,H$10)=H$10, G$10, 0)+IF(_xlfn.BITAND(M5,H$11)=H$11, G$11, 0))</f>
        <v>3.209765625</v>
      </c>
      <c r="P5" s="3" t="n">
        <f aca="false">(G$12/120*L5)</f>
        <v>3.21435791015625</v>
      </c>
      <c r="Q5" s="3" t="n">
        <f aca="false">O5*D$3</f>
        <v>9.73607038123167</v>
      </c>
      <c r="R5" s="3" t="n">
        <f aca="false">(1/12)*L5</f>
        <v>9.75</v>
      </c>
      <c r="S5" s="4" t="n">
        <f aca="false">1/(Q5/R5)</f>
        <v>1.00143072289157</v>
      </c>
    </row>
    <row r="6" customFormat="false" ht="12.8" hidden="false" customHeight="false" outlineLevel="0" collapsed="false">
      <c r="G6" s="0" t="n">
        <f aca="false">G5/2</f>
        <v>0.103125</v>
      </c>
      <c r="H6" s="10" t="n">
        <v>32</v>
      </c>
      <c r="J6" s="0" t="n">
        <f aca="false">G6*D$3</f>
        <v>0.312805474095797</v>
      </c>
      <c r="L6" s="0" t="n">
        <v>116</v>
      </c>
      <c r="M6" s="0" t="n">
        <f aca="false">ROUND((1023/120)*L6,0)</f>
        <v>989</v>
      </c>
      <c r="N6" s="11" t="n">
        <v>1111011101</v>
      </c>
      <c r="O6" s="3" t="n">
        <f aca="false">(IF(_xlfn.BITAND(M6,H$2)=H$2, G$2, 0)+IF(_xlfn.BITAND(M6,H$3)=H$3, G$3, 0)+IF(_xlfn.BITAND(M6,H$4)=H$4, G$4, 0)+IF(_xlfn.BITAND(M6,H$5)=H$5, G$5, 0)+IF(_xlfn.BITAND(M6,H$6)=H$6, G$6, 0)+IF(_xlfn.BITAND(M6,H$7)=H$7, G$7, 0)+IF(_xlfn.BITAND(M6,H$8)=H$8, G$8, 0)+IF(_xlfn.BITAND(M6,H$9)=H$9, G$9, 0)+IF(_xlfn.BITAND(M6,H$10)=H$10, G$10, 0)+IF(_xlfn.BITAND(M6,H$11)=H$11, G$11, 0))</f>
        <v>3.183984375</v>
      </c>
      <c r="P6" s="3" t="n">
        <f aca="false">(G$12/120*L6)</f>
        <v>3.186884765625</v>
      </c>
      <c r="Q6" s="3" t="n">
        <f aca="false">O6*D$3</f>
        <v>9.65786901270772</v>
      </c>
      <c r="R6" s="3" t="n">
        <f aca="false">(1/12)*L6</f>
        <v>9.66666666666667</v>
      </c>
      <c r="S6" s="4" t="n">
        <f aca="false">1/(Q6/R6)</f>
        <v>1.00091093117409</v>
      </c>
    </row>
    <row r="7" customFormat="false" ht="12.8" hidden="false" customHeight="false" outlineLevel="0" collapsed="false">
      <c r="G7" s="0" t="n">
        <f aca="false">G6/2</f>
        <v>0.0515625</v>
      </c>
      <c r="H7" s="10" t="n">
        <v>16</v>
      </c>
      <c r="J7" s="0" t="n">
        <f aca="false">G7*D$3</f>
        <v>0.156402737047898</v>
      </c>
      <c r="L7" s="0" t="n">
        <v>115</v>
      </c>
      <c r="M7" s="0" t="n">
        <f aca="false">ROUND((1023/120)*L7,0)</f>
        <v>980</v>
      </c>
      <c r="N7" s="11" t="n">
        <v>1111010100</v>
      </c>
      <c r="O7" s="3" t="n">
        <f aca="false">(IF(_xlfn.BITAND(M7,H$2)=H$2, G$2, 0)+IF(_xlfn.BITAND(M7,H$3)=H$3, G$3, 0)+IF(_xlfn.BITAND(M7,H$4)=H$4, G$4, 0)+IF(_xlfn.BITAND(M7,H$5)=H$5, G$5, 0)+IF(_xlfn.BITAND(M7,H$6)=H$6, G$6, 0)+IF(_xlfn.BITAND(M7,H$7)=H$7, G$7, 0)+IF(_xlfn.BITAND(M7,H$8)=H$8, G$8, 0)+IF(_xlfn.BITAND(M7,H$9)=H$9, G$9, 0)+IF(_xlfn.BITAND(M7,H$10)=H$10, G$10, 0)+IF(_xlfn.BITAND(M7,H$11)=H$11, G$11, 0))</f>
        <v>3.158203125</v>
      </c>
      <c r="P7" s="3" t="n">
        <f aca="false">(G$12/120*L7)</f>
        <v>3.15941162109375</v>
      </c>
      <c r="Q7" s="3" t="n">
        <f aca="false">O7*D$3</f>
        <v>9.57966764418377</v>
      </c>
      <c r="R7" s="3" t="n">
        <f aca="false">(1/12)*L7</f>
        <v>9.58333333333333</v>
      </c>
      <c r="S7" s="4" t="n">
        <f aca="false">1/(Q7/R7)</f>
        <v>1.00038265306122</v>
      </c>
    </row>
    <row r="8" customFormat="false" ht="12.8" hidden="false" customHeight="false" outlineLevel="0" collapsed="false">
      <c r="G8" s="0" t="n">
        <f aca="false">G7/2</f>
        <v>0.02578125</v>
      </c>
      <c r="H8" s="10" t="n">
        <v>8</v>
      </c>
      <c r="J8" s="0" t="n">
        <f aca="false">G8*D$3</f>
        <v>0.0782013685239492</v>
      </c>
      <c r="L8" s="0" t="n">
        <v>114</v>
      </c>
      <c r="M8" s="0" t="n">
        <f aca="false">ROUND((1023/120)*L8,0)</f>
        <v>972</v>
      </c>
      <c r="N8" s="11" t="n">
        <v>1111001100</v>
      </c>
      <c r="O8" s="3" t="n">
        <f aca="false">(IF(_xlfn.BITAND(M8,H$2)=H$2, G$2, 0)+IF(_xlfn.BITAND(M8,H$3)=H$3, G$3, 0)+IF(_xlfn.BITAND(M8,H$4)=H$4, G$4, 0)+IF(_xlfn.BITAND(M8,H$5)=H$5, G$5, 0)+IF(_xlfn.BITAND(M8,H$6)=H$6, G$6, 0)+IF(_xlfn.BITAND(M8,H$7)=H$7, G$7, 0)+IF(_xlfn.BITAND(M8,H$8)=H$8, G$8, 0)+IF(_xlfn.BITAND(M8,H$9)=H$9, G$9, 0)+IF(_xlfn.BITAND(M8,H$10)=H$10, G$10, 0)+IF(_xlfn.BITAND(M8,H$11)=H$11, G$11, 0))</f>
        <v>3.132421875</v>
      </c>
      <c r="P8" s="3" t="n">
        <f aca="false">(G$12/120*L8)</f>
        <v>3.1319384765625</v>
      </c>
      <c r="Q8" s="3" t="n">
        <f aca="false">O8*D$3</f>
        <v>9.50146627565982</v>
      </c>
      <c r="R8" s="3" t="n">
        <f aca="false">(1/12)*L8</f>
        <v>9.5</v>
      </c>
      <c r="S8" s="4" t="n">
        <f aca="false">1/(Q8/R8)</f>
        <v>0.999845679012346</v>
      </c>
    </row>
    <row r="9" customFormat="false" ht="12.8" hidden="false" customHeight="false" outlineLevel="0" collapsed="false">
      <c r="G9" s="0" t="n">
        <f aca="false">G8/2</f>
        <v>0.012890625</v>
      </c>
      <c r="H9" s="10" t="n">
        <v>4</v>
      </c>
      <c r="J9" s="0" t="n">
        <f aca="false">G9*D$3</f>
        <v>0.0391006842619746</v>
      </c>
      <c r="L9" s="0" t="n">
        <v>113</v>
      </c>
      <c r="M9" s="0" t="n">
        <f aca="false">ROUND((1023/120)*L9,0)</f>
        <v>963</v>
      </c>
      <c r="N9" s="11" t="n">
        <v>1111000011</v>
      </c>
      <c r="O9" s="3" t="n">
        <f aca="false">(IF(_xlfn.BITAND(M9,H$2)=H$2, G$2, 0)+IF(_xlfn.BITAND(M9,H$3)=H$3, G$3, 0)+IF(_xlfn.BITAND(M9,H$4)=H$4, G$4, 0)+IF(_xlfn.BITAND(M9,H$5)=H$5, G$5, 0)+IF(_xlfn.BITAND(M9,H$6)=H$6, G$6, 0)+IF(_xlfn.BITAND(M9,H$7)=H$7, G$7, 0)+IF(_xlfn.BITAND(M9,H$8)=H$8, G$8, 0)+IF(_xlfn.BITAND(M9,H$9)=H$9, G$9, 0)+IF(_xlfn.BITAND(M9,H$10)=H$10, G$10, 0)+IF(_xlfn.BITAND(M9,H$11)=H$11, G$11, 0))</f>
        <v>3.1001953125</v>
      </c>
      <c r="P9" s="3" t="n">
        <f aca="false">(G$12/120*L9)</f>
        <v>3.10446533203125</v>
      </c>
      <c r="Q9" s="3" t="n">
        <f aca="false">O9*D$3</f>
        <v>9.40371456500489</v>
      </c>
      <c r="R9" s="3" t="n">
        <f aca="false">(1/12)*L9</f>
        <v>9.41666666666667</v>
      </c>
      <c r="S9" s="4" t="n">
        <f aca="false">1/(Q9/R9)</f>
        <v>1.00137733887734</v>
      </c>
    </row>
    <row r="10" customFormat="false" ht="12.8" hidden="false" customHeight="false" outlineLevel="0" collapsed="false">
      <c r="G10" s="0" t="n">
        <f aca="false">G9/2</f>
        <v>0.0064453125</v>
      </c>
      <c r="H10" s="10" t="n">
        <v>2</v>
      </c>
      <c r="J10" s="0" t="n">
        <f aca="false">G10*D$3</f>
        <v>0.0195503421309873</v>
      </c>
      <c r="L10" s="0" t="n">
        <v>112</v>
      </c>
      <c r="M10" s="0" t="n">
        <f aca="false">ROUND((1023/120)*L10,0)</f>
        <v>955</v>
      </c>
      <c r="N10" s="11" t="n">
        <v>1110111011</v>
      </c>
      <c r="O10" s="3" t="n">
        <f aca="false">(IF(_xlfn.BITAND(M10,H$2)=H$2, G$2, 0)+IF(_xlfn.BITAND(M10,H$3)=H$3, G$3, 0)+IF(_xlfn.BITAND(M10,H$4)=H$4, G$4, 0)+IF(_xlfn.BITAND(M10,H$5)=H$5, G$5, 0)+IF(_xlfn.BITAND(M10,H$6)=H$6, G$6, 0)+IF(_xlfn.BITAND(M10,H$7)=H$7, G$7, 0)+IF(_xlfn.BITAND(M10,H$8)=H$8, G$8, 0)+IF(_xlfn.BITAND(M10,H$9)=H$9, G$9, 0)+IF(_xlfn.BITAND(M10,H$10)=H$10, G$10, 0)+IF(_xlfn.BITAND(M10,H$11)=H$11, G$11, 0))</f>
        <v>3.0744140625</v>
      </c>
      <c r="P10" s="3" t="n">
        <f aca="false">(G$12/120*L10)</f>
        <v>3.0769921875</v>
      </c>
      <c r="Q10" s="3" t="n">
        <f aca="false">O10*D$3</f>
        <v>9.32551319648094</v>
      </c>
      <c r="R10" s="3" t="n">
        <f aca="false">(1/12)*L10</f>
        <v>9.33333333333333</v>
      </c>
      <c r="S10" s="4" t="n">
        <f aca="false">1/(Q10/R10)</f>
        <v>1.00083857442348</v>
      </c>
    </row>
    <row r="11" customFormat="false" ht="12.8" hidden="false" customHeight="false" outlineLevel="0" collapsed="false">
      <c r="G11" s="0" t="n">
        <f aca="false">G10/2</f>
        <v>0.00322265625</v>
      </c>
      <c r="H11" s="10" t="str">
        <f aca="false">DEC2BIN(1)</f>
        <v>1</v>
      </c>
      <c r="J11" s="0" t="n">
        <f aca="false">G11*D$3</f>
        <v>0.00977517106549364</v>
      </c>
      <c r="L11" s="0" t="n">
        <v>111</v>
      </c>
      <c r="M11" s="0" t="n">
        <f aca="false">ROUND((1023/120)*L11,0)</f>
        <v>946</v>
      </c>
      <c r="N11" s="11" t="n">
        <v>1110110010</v>
      </c>
      <c r="O11" s="3" t="n">
        <f aca="false">(IF(_xlfn.BITAND(M11,H$2)=H$2, G$2, 0)+IF(_xlfn.BITAND(M11,H$3)=H$3, G$3, 0)+IF(_xlfn.BITAND(M11,H$4)=H$4, G$4, 0)+IF(_xlfn.BITAND(M11,H$5)=H$5, G$5, 0)+IF(_xlfn.BITAND(M11,H$6)=H$6, G$6, 0)+IF(_xlfn.BITAND(M11,H$7)=H$7, G$7, 0)+IF(_xlfn.BITAND(M11,H$8)=H$8, G$8, 0)+IF(_xlfn.BITAND(M11,H$9)=H$9, G$9, 0)+IF(_xlfn.BITAND(M11,H$10)=H$10, G$10, 0)+IF(_xlfn.BITAND(M11,H$11)=H$11, G$11, 0))</f>
        <v>3.0486328125</v>
      </c>
      <c r="P11" s="3" t="n">
        <f aca="false">(G$12/120*L11)</f>
        <v>3.04951904296875</v>
      </c>
      <c r="Q11" s="3" t="n">
        <f aca="false">O11*D$3</f>
        <v>9.24731182795699</v>
      </c>
      <c r="R11" s="3" t="n">
        <f aca="false">(1/12)*L11</f>
        <v>9.25</v>
      </c>
      <c r="S11" s="4" t="n">
        <f aca="false">1/(Q11/R11)</f>
        <v>1.00029069767442</v>
      </c>
    </row>
    <row r="12" customFormat="false" ht="12.8" hidden="false" customHeight="false" outlineLevel="0" collapsed="false">
      <c r="G12" s="6" t="n">
        <f aca="false">SUM(G2:G11)</f>
        <v>3.29677734375</v>
      </c>
      <c r="L12" s="0" t="n">
        <v>110</v>
      </c>
      <c r="M12" s="0" t="n">
        <f aca="false">ROUND((1023/120)*L12,0)</f>
        <v>938</v>
      </c>
      <c r="N12" s="11" t="n">
        <v>1110101010</v>
      </c>
      <c r="O12" s="3" t="n">
        <f aca="false">(IF(_xlfn.BITAND(M12,H$2)=H$2, G$2, 0)+IF(_xlfn.BITAND(M12,H$3)=H$3, G$3, 0)+IF(_xlfn.BITAND(M12,H$4)=H$4, G$4, 0)+IF(_xlfn.BITAND(M12,H$5)=H$5, G$5, 0)+IF(_xlfn.BITAND(M12,H$6)=H$6, G$6, 0)+IF(_xlfn.BITAND(M12,H$7)=H$7, G$7, 0)+IF(_xlfn.BITAND(M12,H$8)=H$8, G$8, 0)+IF(_xlfn.BITAND(M12,H$9)=H$9, G$9, 0)+IF(_xlfn.BITAND(M12,H$10)=H$10, G$10, 0)+IF(_xlfn.BITAND(M12,H$11)=H$11, G$11, 0))</f>
        <v>3.0228515625</v>
      </c>
      <c r="P12" s="3" t="n">
        <f aca="false">(G$12/120*L12)</f>
        <v>3.0220458984375</v>
      </c>
      <c r="Q12" s="3" t="n">
        <f aca="false">O12*D$3</f>
        <v>9.16911045943304</v>
      </c>
      <c r="R12" s="3" t="n">
        <f aca="false">(1/12)*L12</f>
        <v>9.16666666666667</v>
      </c>
      <c r="S12" s="4" t="n">
        <f aca="false">1/(Q12/R12)</f>
        <v>0.999733475479744</v>
      </c>
    </row>
    <row r="13" customFormat="false" ht="12.8" hidden="false" customHeight="false" outlineLevel="0" collapsed="false">
      <c r="L13" s="0" t="n">
        <v>109</v>
      </c>
      <c r="M13" s="0" t="n">
        <f aca="false">ROUND((1023/120)*L13,0)</f>
        <v>929</v>
      </c>
      <c r="N13" s="11" t="n">
        <v>1110100001</v>
      </c>
      <c r="O13" s="3" t="n">
        <f aca="false">(IF(_xlfn.BITAND(M13,H$2)=H$2, G$2, 0)+IF(_xlfn.BITAND(M13,H$3)=H$3, G$3, 0)+IF(_xlfn.BITAND(M13,H$4)=H$4, G$4, 0)+IF(_xlfn.BITAND(M13,H$5)=H$5, G$5, 0)+IF(_xlfn.BITAND(M13,H$6)=H$6, G$6, 0)+IF(_xlfn.BITAND(M13,H$7)=H$7, G$7, 0)+IF(_xlfn.BITAND(M13,H$8)=H$8, G$8, 0)+IF(_xlfn.BITAND(M13,H$9)=H$9, G$9, 0)+IF(_xlfn.BITAND(M13,H$10)=H$10, G$10, 0)+IF(_xlfn.BITAND(M13,H$11)=H$11, G$11, 0))</f>
        <v>2.990625</v>
      </c>
      <c r="P13" s="3" t="n">
        <f aca="false">(G$12/120*L13)</f>
        <v>2.99457275390625</v>
      </c>
      <c r="Q13" s="3" t="n">
        <f aca="false">O13*D$3</f>
        <v>9.0713587487781</v>
      </c>
      <c r="R13" s="3" t="n">
        <f aca="false">(1/12)*L13</f>
        <v>9.08333333333333</v>
      </c>
      <c r="S13" s="4" t="n">
        <f aca="false">1/(Q13/R13)</f>
        <v>1.00132004310345</v>
      </c>
    </row>
    <row r="14" customFormat="false" ht="12.8" hidden="false" customHeight="false" outlineLevel="0" collapsed="false">
      <c r="L14" s="0" t="n">
        <v>108</v>
      </c>
      <c r="M14" s="0" t="n">
        <f aca="false">ROUND((1023/120)*L14,0)</f>
        <v>921</v>
      </c>
      <c r="N14" s="11" t="n">
        <v>1110011001</v>
      </c>
      <c r="O14" s="3" t="n">
        <f aca="false">(IF(_xlfn.BITAND(M14,H$2)=H$2, G$2, 0)+IF(_xlfn.BITAND(M14,H$3)=H$3, G$3, 0)+IF(_xlfn.BITAND(M14,H$4)=H$4, G$4, 0)+IF(_xlfn.BITAND(M14,H$5)=H$5, G$5, 0)+IF(_xlfn.BITAND(M14,H$6)=H$6, G$6, 0)+IF(_xlfn.BITAND(M14,H$7)=H$7, G$7, 0)+IF(_xlfn.BITAND(M14,H$8)=H$8, G$8, 0)+IF(_xlfn.BITAND(M14,H$9)=H$9, G$9, 0)+IF(_xlfn.BITAND(M14,H$10)=H$10, G$10, 0)+IF(_xlfn.BITAND(M14,H$11)=H$11, G$11, 0))</f>
        <v>2.96484375</v>
      </c>
      <c r="P14" s="3" t="n">
        <f aca="false">(G$12/120*L14)</f>
        <v>2.967099609375</v>
      </c>
      <c r="Q14" s="3" t="n">
        <f aca="false">O14*D$3</f>
        <v>8.99315738025415</v>
      </c>
      <c r="R14" s="3" t="n">
        <f aca="false">(1/12)*L14</f>
        <v>9</v>
      </c>
      <c r="S14" s="4" t="n">
        <f aca="false">1/(Q14/R14)</f>
        <v>1.00076086956522</v>
      </c>
    </row>
    <row r="15" customFormat="false" ht="12.8" hidden="false" customHeight="false" outlineLevel="0" collapsed="false">
      <c r="L15" s="0" t="n">
        <v>107</v>
      </c>
      <c r="M15" s="0" t="n">
        <f aca="false">ROUND((1023/120)*L15,0)</f>
        <v>912</v>
      </c>
      <c r="N15" s="11" t="n">
        <v>1110010000</v>
      </c>
      <c r="O15" s="3" t="n">
        <f aca="false">(IF(_xlfn.BITAND(M15,H$2)=H$2, G$2, 0)+IF(_xlfn.BITAND(M15,H$3)=H$3, G$3, 0)+IF(_xlfn.BITAND(M15,H$4)=H$4, G$4, 0)+IF(_xlfn.BITAND(M15,H$5)=H$5, G$5, 0)+IF(_xlfn.BITAND(M15,H$6)=H$6, G$6, 0)+IF(_xlfn.BITAND(M15,H$7)=H$7, G$7, 0)+IF(_xlfn.BITAND(M15,H$8)=H$8, G$8, 0)+IF(_xlfn.BITAND(M15,H$9)=H$9, G$9, 0)+IF(_xlfn.BITAND(M15,H$10)=H$10, G$10, 0)+IF(_xlfn.BITAND(M15,H$11)=H$11, G$11, 0))</f>
        <v>2.9390625</v>
      </c>
      <c r="P15" s="3" t="n">
        <f aca="false">(G$12/120*L15)</f>
        <v>2.93962646484375</v>
      </c>
      <c r="Q15" s="3" t="n">
        <f aca="false">O15*D$3</f>
        <v>8.9149560117302</v>
      </c>
      <c r="R15" s="3" t="n">
        <f aca="false">(1/12)*L15</f>
        <v>8.91666666666667</v>
      </c>
      <c r="S15" s="4" t="n">
        <f aca="false">1/(Q15/R15)</f>
        <v>1.00019188596491</v>
      </c>
    </row>
    <row r="16" customFormat="false" ht="12.8" hidden="false" customHeight="false" outlineLevel="0" collapsed="false">
      <c r="L16" s="0" t="n">
        <v>106</v>
      </c>
      <c r="M16" s="0" t="n">
        <f aca="false">ROUND((1023/120)*L16,0)</f>
        <v>904</v>
      </c>
      <c r="N16" s="11" t="n">
        <v>1110001000</v>
      </c>
      <c r="O16" s="3" t="n">
        <f aca="false">(IF(_xlfn.BITAND(M16,H$2)=H$2, G$2, 0)+IF(_xlfn.BITAND(M16,H$3)=H$3, G$3, 0)+IF(_xlfn.BITAND(M16,H$4)=H$4, G$4, 0)+IF(_xlfn.BITAND(M16,H$5)=H$5, G$5, 0)+IF(_xlfn.BITAND(M16,H$6)=H$6, G$6, 0)+IF(_xlfn.BITAND(M16,H$7)=H$7, G$7, 0)+IF(_xlfn.BITAND(M16,H$8)=H$8, G$8, 0)+IF(_xlfn.BITAND(M16,H$9)=H$9, G$9, 0)+IF(_xlfn.BITAND(M16,H$10)=H$10, G$10, 0)+IF(_xlfn.BITAND(M16,H$11)=H$11, G$11, 0))</f>
        <v>2.91328125</v>
      </c>
      <c r="P16" s="3" t="n">
        <f aca="false">(G$12/120*L16)</f>
        <v>2.9121533203125</v>
      </c>
      <c r="Q16" s="3" t="n">
        <f aca="false">O16*D$3</f>
        <v>8.83675464320626</v>
      </c>
      <c r="R16" s="3" t="n">
        <f aca="false">(1/12)*L16</f>
        <v>8.83333333333333</v>
      </c>
      <c r="S16" s="4" t="n">
        <f aca="false">1/(Q16/R16)</f>
        <v>0.999612831858407</v>
      </c>
    </row>
    <row r="17" customFormat="false" ht="12.8" hidden="false" customHeight="false" outlineLevel="0" collapsed="false">
      <c r="L17" s="0" t="n">
        <v>105</v>
      </c>
      <c r="M17" s="0" t="n">
        <f aca="false">ROUND((1023/120)*L17,0)</f>
        <v>895</v>
      </c>
      <c r="N17" s="11" t="n">
        <v>1101111111</v>
      </c>
      <c r="O17" s="3" t="n">
        <f aca="false">(IF(_xlfn.BITAND(M17,H$2)=H$2, G$2, 0)+IF(_xlfn.BITAND(M17,H$3)=H$3, G$3, 0)+IF(_xlfn.BITAND(M17,H$4)=H$4, G$4, 0)+IF(_xlfn.BITAND(M17,H$5)=H$5, G$5, 0)+IF(_xlfn.BITAND(M17,H$6)=H$6, G$6, 0)+IF(_xlfn.BITAND(M17,H$7)=H$7, G$7, 0)+IF(_xlfn.BITAND(M17,H$8)=H$8, G$8, 0)+IF(_xlfn.BITAND(M17,H$9)=H$9, G$9, 0)+IF(_xlfn.BITAND(M17,H$10)=H$10, G$10, 0)+IF(_xlfn.BITAND(M17,H$11)=H$11, G$11, 0))</f>
        <v>2.8810546875</v>
      </c>
      <c r="P17" s="3" t="n">
        <f aca="false">(G$12/120*L17)</f>
        <v>2.88468017578125</v>
      </c>
      <c r="Q17" s="3" t="n">
        <f aca="false">O17*D$3</f>
        <v>8.73900293255132</v>
      </c>
      <c r="R17" s="3" t="n">
        <f aca="false">(1/12)*L17</f>
        <v>8.75</v>
      </c>
      <c r="S17" s="4" t="n">
        <f aca="false">1/(Q17/R17)</f>
        <v>1.00125838926175</v>
      </c>
    </row>
    <row r="18" customFormat="false" ht="12.8" hidden="false" customHeight="false" outlineLevel="0" collapsed="false">
      <c r="L18" s="0" t="n">
        <v>104</v>
      </c>
      <c r="M18" s="0" t="n">
        <f aca="false">ROUND((1023/120)*L18,0)</f>
        <v>887</v>
      </c>
      <c r="N18" s="11" t="n">
        <v>1101110111</v>
      </c>
      <c r="O18" s="3" t="n">
        <f aca="false">(IF(_xlfn.BITAND(M18,H$2)=H$2, G$2, 0)+IF(_xlfn.BITAND(M18,H$3)=H$3, G$3, 0)+IF(_xlfn.BITAND(M18,H$4)=H$4, G$4, 0)+IF(_xlfn.BITAND(M18,H$5)=H$5, G$5, 0)+IF(_xlfn.BITAND(M18,H$6)=H$6, G$6, 0)+IF(_xlfn.BITAND(M18,H$7)=H$7, G$7, 0)+IF(_xlfn.BITAND(M18,H$8)=H$8, G$8, 0)+IF(_xlfn.BITAND(M18,H$9)=H$9, G$9, 0)+IF(_xlfn.BITAND(M18,H$10)=H$10, G$10, 0)+IF(_xlfn.BITAND(M18,H$11)=H$11, G$11, 0))</f>
        <v>2.8552734375</v>
      </c>
      <c r="P18" s="3" t="n">
        <f aca="false">(G$12/120*L18)</f>
        <v>2.85720703125</v>
      </c>
      <c r="Q18" s="3" t="n">
        <f aca="false">O18*D$3</f>
        <v>8.66080156402737</v>
      </c>
      <c r="R18" s="3" t="n">
        <f aca="false">(1/12)*L18</f>
        <v>8.66666666666667</v>
      </c>
      <c r="S18" s="4" t="n">
        <f aca="false">1/(Q18/R18)</f>
        <v>1.00067720090293</v>
      </c>
    </row>
    <row r="19" customFormat="false" ht="12.8" hidden="false" customHeight="false" outlineLevel="0" collapsed="false">
      <c r="L19" s="0" t="n">
        <v>103</v>
      </c>
      <c r="M19" s="0" t="n">
        <f aca="false">ROUND((1023/120)*L19,0)</f>
        <v>878</v>
      </c>
      <c r="N19" s="11" t="n">
        <v>1101101110</v>
      </c>
      <c r="O19" s="3" t="n">
        <f aca="false">(IF(_xlfn.BITAND(M19,H$2)=H$2, G$2, 0)+IF(_xlfn.BITAND(M19,H$3)=H$3, G$3, 0)+IF(_xlfn.BITAND(M19,H$4)=H$4, G$4, 0)+IF(_xlfn.BITAND(M19,H$5)=H$5, G$5, 0)+IF(_xlfn.BITAND(M19,H$6)=H$6, G$6, 0)+IF(_xlfn.BITAND(M19,H$7)=H$7, G$7, 0)+IF(_xlfn.BITAND(M19,H$8)=H$8, G$8, 0)+IF(_xlfn.BITAND(M19,H$9)=H$9, G$9, 0)+IF(_xlfn.BITAND(M19,H$10)=H$10, G$10, 0)+IF(_xlfn.BITAND(M19,H$11)=H$11, G$11, 0))</f>
        <v>2.8294921875</v>
      </c>
      <c r="P19" s="3" t="n">
        <f aca="false">(G$12/120*L19)</f>
        <v>2.82973388671875</v>
      </c>
      <c r="Q19" s="3" t="n">
        <f aca="false">O19*D$3</f>
        <v>8.58260019550342</v>
      </c>
      <c r="R19" s="3" t="n">
        <f aca="false">(1/12)*L19</f>
        <v>8.58333333333333</v>
      </c>
      <c r="S19" s="4" t="n">
        <f aca="false">1/(Q19/R19)</f>
        <v>1.0000854214123</v>
      </c>
    </row>
    <row r="20" customFormat="false" ht="12.8" hidden="false" customHeight="false" outlineLevel="0" collapsed="false">
      <c r="L20" s="0" t="n">
        <v>102</v>
      </c>
      <c r="M20" s="0" t="n">
        <f aca="false">ROUND((1023/120)*L20,0)</f>
        <v>870</v>
      </c>
      <c r="N20" s="11" t="n">
        <v>1101100110</v>
      </c>
      <c r="O20" s="3" t="n">
        <f aca="false">(IF(_xlfn.BITAND(M20,H$2)=H$2, G$2, 0)+IF(_xlfn.BITAND(M20,H$3)=H$3, G$3, 0)+IF(_xlfn.BITAND(M20,H$4)=H$4, G$4, 0)+IF(_xlfn.BITAND(M20,H$5)=H$5, G$5, 0)+IF(_xlfn.BITAND(M20,H$6)=H$6, G$6, 0)+IF(_xlfn.BITAND(M20,H$7)=H$7, G$7, 0)+IF(_xlfn.BITAND(M20,H$8)=H$8, G$8, 0)+IF(_xlfn.BITAND(M20,H$9)=H$9, G$9, 0)+IF(_xlfn.BITAND(M20,H$10)=H$10, G$10, 0)+IF(_xlfn.BITAND(M20,H$11)=H$11, G$11, 0))</f>
        <v>2.8037109375</v>
      </c>
      <c r="P20" s="3" t="n">
        <f aca="false">(G$12/120*L20)</f>
        <v>2.8022607421875</v>
      </c>
      <c r="Q20" s="3" t="n">
        <f aca="false">O20*D$3</f>
        <v>8.50439882697947</v>
      </c>
      <c r="R20" s="3" t="n">
        <f aca="false">(1/12)*L20</f>
        <v>8.5</v>
      </c>
      <c r="S20" s="4" t="n">
        <f aca="false">1/(Q20/R20)</f>
        <v>0.99948275862069</v>
      </c>
    </row>
    <row r="21" customFormat="false" ht="12.8" hidden="false" customHeight="false" outlineLevel="0" collapsed="false">
      <c r="L21" s="0" t="n">
        <v>101</v>
      </c>
      <c r="M21" s="0" t="n">
        <f aca="false">ROUND((1023/120)*L21,0)</f>
        <v>861</v>
      </c>
      <c r="N21" s="11" t="n">
        <v>1101011101</v>
      </c>
      <c r="O21" s="3" t="n">
        <f aca="false">(IF(_xlfn.BITAND(M21,H$2)=H$2, G$2, 0)+IF(_xlfn.BITAND(M21,H$3)=H$3, G$3, 0)+IF(_xlfn.BITAND(M21,H$4)=H$4, G$4, 0)+IF(_xlfn.BITAND(M21,H$5)=H$5, G$5, 0)+IF(_xlfn.BITAND(M21,H$6)=H$6, G$6, 0)+IF(_xlfn.BITAND(M21,H$7)=H$7, G$7, 0)+IF(_xlfn.BITAND(M21,H$8)=H$8, G$8, 0)+IF(_xlfn.BITAND(M21,H$9)=H$9, G$9, 0)+IF(_xlfn.BITAND(M21,H$10)=H$10, G$10, 0)+IF(_xlfn.BITAND(M21,H$11)=H$11, G$11, 0))</f>
        <v>2.771484375</v>
      </c>
      <c r="P21" s="3" t="n">
        <f aca="false">(G$12/120*L21)</f>
        <v>2.77478759765625</v>
      </c>
      <c r="Q21" s="3" t="n">
        <f aca="false">O21*D$3</f>
        <v>8.40664711632453</v>
      </c>
      <c r="R21" s="3" t="n">
        <f aca="false">(1/12)*L21</f>
        <v>8.41666666666667</v>
      </c>
      <c r="S21" s="4" t="n">
        <f aca="false">1/(Q21/R21)</f>
        <v>1.00119186046512</v>
      </c>
    </row>
    <row r="22" customFormat="false" ht="12.8" hidden="false" customHeight="false" outlineLevel="0" collapsed="false">
      <c r="L22" s="0" t="n">
        <v>100</v>
      </c>
      <c r="M22" s="0" t="n">
        <f aca="false">ROUND((1023/120)*L22,0)</f>
        <v>853</v>
      </c>
      <c r="N22" s="11" t="n">
        <v>1101010101</v>
      </c>
      <c r="O22" s="3" t="n">
        <f aca="false">(IF(_xlfn.BITAND(M22,H$2)=H$2, G$2, 0)+IF(_xlfn.BITAND(M22,H$3)=H$3, G$3, 0)+IF(_xlfn.BITAND(M22,H$4)=H$4, G$4, 0)+IF(_xlfn.BITAND(M22,H$5)=H$5, G$5, 0)+IF(_xlfn.BITAND(M22,H$6)=H$6, G$6, 0)+IF(_xlfn.BITAND(M22,H$7)=H$7, G$7, 0)+IF(_xlfn.BITAND(M22,H$8)=H$8, G$8, 0)+IF(_xlfn.BITAND(M22,H$9)=H$9, G$9, 0)+IF(_xlfn.BITAND(M22,H$10)=H$10, G$10, 0)+IF(_xlfn.BITAND(M22,H$11)=H$11, G$11, 0))</f>
        <v>2.745703125</v>
      </c>
      <c r="P22" s="3" t="n">
        <f aca="false">(G$12/120*L22)</f>
        <v>2.747314453125</v>
      </c>
      <c r="Q22" s="3" t="n">
        <f aca="false">O22*D$3</f>
        <v>8.32844574780058</v>
      </c>
      <c r="R22" s="3" t="n">
        <f aca="false">(1/12)*L22</f>
        <v>8.33333333333333</v>
      </c>
      <c r="S22" s="4" t="n">
        <f aca="false">1/(Q22/R22)</f>
        <v>1.00058685446009</v>
      </c>
    </row>
    <row r="23" customFormat="false" ht="12.8" hidden="false" customHeight="false" outlineLevel="0" collapsed="false">
      <c r="L23" s="0" t="n">
        <v>99</v>
      </c>
      <c r="M23" s="0" t="n">
        <f aca="false">ROUND((1023/120)*L23,0)</f>
        <v>844</v>
      </c>
      <c r="N23" s="11" t="n">
        <v>1101001100</v>
      </c>
      <c r="O23" s="3" t="n">
        <f aca="false">(IF(_xlfn.BITAND(M23,H$2)=H$2, G$2, 0)+IF(_xlfn.BITAND(M23,H$3)=H$3, G$3, 0)+IF(_xlfn.BITAND(M23,H$4)=H$4, G$4, 0)+IF(_xlfn.BITAND(M23,H$5)=H$5, G$5, 0)+IF(_xlfn.BITAND(M23,H$6)=H$6, G$6, 0)+IF(_xlfn.BITAND(M23,H$7)=H$7, G$7, 0)+IF(_xlfn.BITAND(M23,H$8)=H$8, G$8, 0)+IF(_xlfn.BITAND(M23,H$9)=H$9, G$9, 0)+IF(_xlfn.BITAND(M23,H$10)=H$10, G$10, 0)+IF(_xlfn.BITAND(M23,H$11)=H$11, G$11, 0))</f>
        <v>2.719921875</v>
      </c>
      <c r="P23" s="3" t="n">
        <f aca="false">(G$12/120*L23)</f>
        <v>2.71984130859375</v>
      </c>
      <c r="Q23" s="3" t="n">
        <f aca="false">O23*D$3</f>
        <v>8.25024437927664</v>
      </c>
      <c r="R23" s="3" t="n">
        <f aca="false">(1/12)*L23</f>
        <v>8.25</v>
      </c>
      <c r="S23" s="4" t="n">
        <f aca="false">1/(Q23/R23)</f>
        <v>0.99997037914692</v>
      </c>
    </row>
    <row r="24" customFormat="false" ht="12.8" hidden="false" customHeight="false" outlineLevel="0" collapsed="false">
      <c r="L24" s="0" t="n">
        <v>98</v>
      </c>
      <c r="M24" s="0" t="n">
        <f aca="false">ROUND((1023/120)*L24,0)</f>
        <v>835</v>
      </c>
      <c r="N24" s="11" t="n">
        <v>1101000011</v>
      </c>
      <c r="O24" s="3" t="n">
        <f aca="false">(IF(_xlfn.BITAND(M24,H$2)=H$2, G$2, 0)+IF(_xlfn.BITAND(M24,H$3)=H$3, G$3, 0)+IF(_xlfn.BITAND(M24,H$4)=H$4, G$4, 0)+IF(_xlfn.BITAND(M24,H$5)=H$5, G$5, 0)+IF(_xlfn.BITAND(M24,H$6)=H$6, G$6, 0)+IF(_xlfn.BITAND(M24,H$7)=H$7, G$7, 0)+IF(_xlfn.BITAND(M24,H$8)=H$8, G$8, 0)+IF(_xlfn.BITAND(M24,H$9)=H$9, G$9, 0)+IF(_xlfn.BITAND(M24,H$10)=H$10, G$10, 0)+IF(_xlfn.BITAND(M24,H$11)=H$11, G$11, 0))</f>
        <v>2.6876953125</v>
      </c>
      <c r="P24" s="3" t="n">
        <f aca="false">(G$12/120*L24)</f>
        <v>2.6923681640625</v>
      </c>
      <c r="Q24" s="3" t="n">
        <f aca="false">O24*D$3</f>
        <v>8.1524926686217</v>
      </c>
      <c r="R24" s="3" t="n">
        <f aca="false">(1/12)*L24</f>
        <v>8.16666666666667</v>
      </c>
      <c r="S24" s="4" t="n">
        <f aca="false">1/(Q24/R24)</f>
        <v>1.00173860911271</v>
      </c>
    </row>
    <row r="25" customFormat="false" ht="12.8" hidden="false" customHeight="false" outlineLevel="0" collapsed="false">
      <c r="L25" s="0" t="n">
        <v>97</v>
      </c>
      <c r="M25" s="0" t="n">
        <f aca="false">ROUND((1023/120)*L25,0)</f>
        <v>827</v>
      </c>
      <c r="N25" s="11" t="n">
        <v>1100111011</v>
      </c>
      <c r="O25" s="3" t="n">
        <f aca="false">(IF(_xlfn.BITAND(M25,H$2)=H$2, G$2, 0)+IF(_xlfn.BITAND(M25,H$3)=H$3, G$3, 0)+IF(_xlfn.BITAND(M25,H$4)=H$4, G$4, 0)+IF(_xlfn.BITAND(M25,H$5)=H$5, G$5, 0)+IF(_xlfn.BITAND(M25,H$6)=H$6, G$6, 0)+IF(_xlfn.BITAND(M25,H$7)=H$7, G$7, 0)+IF(_xlfn.BITAND(M25,H$8)=H$8, G$8, 0)+IF(_xlfn.BITAND(M25,H$9)=H$9, G$9, 0)+IF(_xlfn.BITAND(M25,H$10)=H$10, G$10, 0)+IF(_xlfn.BITAND(M25,H$11)=H$11, G$11, 0))</f>
        <v>2.6619140625</v>
      </c>
      <c r="P25" s="3" t="n">
        <f aca="false">(G$12/120*L25)</f>
        <v>2.66489501953125</v>
      </c>
      <c r="Q25" s="3" t="n">
        <f aca="false">O25*D$3</f>
        <v>8.07429130009775</v>
      </c>
      <c r="R25" s="3" t="n">
        <f aca="false">(1/12)*L25</f>
        <v>8.08333333333333</v>
      </c>
      <c r="S25" s="4" t="n">
        <f aca="false">1/(Q25/R25)</f>
        <v>1.00111985472155</v>
      </c>
    </row>
    <row r="26" customFormat="false" ht="12.8" hidden="false" customHeight="false" outlineLevel="0" collapsed="false">
      <c r="L26" s="0" t="n">
        <v>96</v>
      </c>
      <c r="M26" s="0" t="n">
        <f aca="false">ROUND((1023/120)*L26,0)</f>
        <v>818</v>
      </c>
      <c r="N26" s="11" t="n">
        <v>1100110010</v>
      </c>
      <c r="O26" s="3" t="n">
        <f aca="false">(IF(_xlfn.BITAND(M26,H$2)=H$2, G$2, 0)+IF(_xlfn.BITAND(M26,H$3)=H$3, G$3, 0)+IF(_xlfn.BITAND(M26,H$4)=H$4, G$4, 0)+IF(_xlfn.BITAND(M26,H$5)=H$5, G$5, 0)+IF(_xlfn.BITAND(M26,H$6)=H$6, G$6, 0)+IF(_xlfn.BITAND(M26,H$7)=H$7, G$7, 0)+IF(_xlfn.BITAND(M26,H$8)=H$8, G$8, 0)+IF(_xlfn.BITAND(M26,H$9)=H$9, G$9, 0)+IF(_xlfn.BITAND(M26,H$10)=H$10, G$10, 0)+IF(_xlfn.BITAND(M26,H$11)=H$11, G$11, 0))</f>
        <v>2.6361328125</v>
      </c>
      <c r="P26" s="3" t="n">
        <f aca="false">(G$12/120*L26)</f>
        <v>2.637421875</v>
      </c>
      <c r="Q26" s="3" t="n">
        <f aca="false">O26*D$3</f>
        <v>7.9960899315738</v>
      </c>
      <c r="R26" s="3" t="n">
        <f aca="false">(1/12)*L26</f>
        <v>8</v>
      </c>
      <c r="S26" s="4" t="n">
        <f aca="false">1/(Q26/R26)</f>
        <v>1.00048899755501</v>
      </c>
    </row>
    <row r="27" customFormat="false" ht="12.8" hidden="false" customHeight="false" outlineLevel="0" collapsed="false">
      <c r="L27" s="0" t="n">
        <v>95</v>
      </c>
      <c r="M27" s="0" t="n">
        <f aca="false">ROUND((1023/120)*L27,0)</f>
        <v>810</v>
      </c>
      <c r="N27" s="11" t="n">
        <v>1100101010</v>
      </c>
      <c r="O27" s="3" t="n">
        <f aca="false">(IF(_xlfn.BITAND(M27,H$2)=H$2, G$2, 0)+IF(_xlfn.BITAND(M27,H$3)=H$3, G$3, 0)+IF(_xlfn.BITAND(M27,H$4)=H$4, G$4, 0)+IF(_xlfn.BITAND(M27,H$5)=H$5, G$5, 0)+IF(_xlfn.BITAND(M27,H$6)=H$6, G$6, 0)+IF(_xlfn.BITAND(M27,H$7)=H$7, G$7, 0)+IF(_xlfn.BITAND(M27,H$8)=H$8, G$8, 0)+IF(_xlfn.BITAND(M27,H$9)=H$9, G$9, 0)+IF(_xlfn.BITAND(M27,H$10)=H$10, G$10, 0)+IF(_xlfn.BITAND(M27,H$11)=H$11, G$11, 0))</f>
        <v>2.6103515625</v>
      </c>
      <c r="P27" s="3" t="n">
        <f aca="false">(G$12/120*L27)</f>
        <v>2.60994873046875</v>
      </c>
      <c r="Q27" s="3" t="n">
        <f aca="false">O27*D$3</f>
        <v>7.91788856304985</v>
      </c>
      <c r="R27" s="3" t="n">
        <f aca="false">(1/12)*L27</f>
        <v>7.91666666666667</v>
      </c>
      <c r="S27" s="4" t="n">
        <f aca="false">1/(Q27/R27)</f>
        <v>0.999845679012346</v>
      </c>
    </row>
    <row r="28" customFormat="false" ht="12.8" hidden="false" customHeight="false" outlineLevel="0" collapsed="false">
      <c r="L28" s="0" t="n">
        <v>94</v>
      </c>
      <c r="M28" s="0" t="n">
        <f aca="false">ROUND((1023/120)*L28,0)</f>
        <v>801</v>
      </c>
      <c r="N28" s="11" t="n">
        <v>1100100001</v>
      </c>
      <c r="O28" s="3" t="n">
        <f aca="false">(IF(_xlfn.BITAND(M28,H$2)=H$2, G$2, 0)+IF(_xlfn.BITAND(M28,H$3)=H$3, G$3, 0)+IF(_xlfn.BITAND(M28,H$4)=H$4, G$4, 0)+IF(_xlfn.BITAND(M28,H$5)=H$5, G$5, 0)+IF(_xlfn.BITAND(M28,H$6)=H$6, G$6, 0)+IF(_xlfn.BITAND(M28,H$7)=H$7, G$7, 0)+IF(_xlfn.BITAND(M28,H$8)=H$8, G$8, 0)+IF(_xlfn.BITAND(M28,H$9)=H$9, G$9, 0)+IF(_xlfn.BITAND(M28,H$10)=H$10, G$10, 0)+IF(_xlfn.BITAND(M28,H$11)=H$11, G$11, 0))</f>
        <v>2.578125</v>
      </c>
      <c r="P28" s="3" t="n">
        <f aca="false">(G$12/120*L28)</f>
        <v>2.5824755859375</v>
      </c>
      <c r="Q28" s="3" t="n">
        <f aca="false">O28*D$3</f>
        <v>7.82013685239492</v>
      </c>
      <c r="R28" s="3" t="n">
        <f aca="false">(1/12)*L28</f>
        <v>7.83333333333333</v>
      </c>
      <c r="S28" s="4" t="n">
        <f aca="false">1/(Q28/R28)</f>
        <v>1.0016875</v>
      </c>
    </row>
    <row r="29" customFormat="false" ht="12.8" hidden="false" customHeight="false" outlineLevel="0" collapsed="false">
      <c r="L29" s="0" t="n">
        <v>93</v>
      </c>
      <c r="M29" s="0" t="n">
        <f aca="false">ROUND((1023/120)*L29,0)</f>
        <v>793</v>
      </c>
      <c r="N29" s="11" t="n">
        <v>1100011001</v>
      </c>
      <c r="O29" s="3" t="n">
        <f aca="false">(IF(_xlfn.BITAND(M29,H$2)=H$2, G$2, 0)+IF(_xlfn.BITAND(M29,H$3)=H$3, G$3, 0)+IF(_xlfn.BITAND(M29,H$4)=H$4, G$4, 0)+IF(_xlfn.BITAND(M29,H$5)=H$5, G$5, 0)+IF(_xlfn.BITAND(M29,H$6)=H$6, G$6, 0)+IF(_xlfn.BITAND(M29,H$7)=H$7, G$7, 0)+IF(_xlfn.BITAND(M29,H$8)=H$8, G$8, 0)+IF(_xlfn.BITAND(M29,H$9)=H$9, G$9, 0)+IF(_xlfn.BITAND(M29,H$10)=H$10, G$10, 0)+IF(_xlfn.BITAND(M29,H$11)=H$11, G$11, 0))</f>
        <v>2.55234375</v>
      </c>
      <c r="P29" s="3" t="n">
        <f aca="false">(G$12/120*L29)</f>
        <v>2.55500244140625</v>
      </c>
      <c r="Q29" s="3" t="n">
        <f aca="false">O29*D$3</f>
        <v>7.74193548387097</v>
      </c>
      <c r="R29" s="3" t="n">
        <f aca="false">(1/12)*L29</f>
        <v>7.75</v>
      </c>
      <c r="S29" s="4" t="n">
        <f aca="false">1/(Q29/R29)</f>
        <v>1.00104166666667</v>
      </c>
    </row>
    <row r="30" customFormat="false" ht="12.8" hidden="false" customHeight="false" outlineLevel="0" collapsed="false">
      <c r="L30" s="0" t="n">
        <v>92</v>
      </c>
      <c r="M30" s="0" t="n">
        <f aca="false">ROUND((1023/120)*L30,0)</f>
        <v>784</v>
      </c>
      <c r="N30" s="11" t="n">
        <v>1100010000</v>
      </c>
      <c r="O30" s="3" t="n">
        <f aca="false">(IF(_xlfn.BITAND(M30,H$2)=H$2, G$2, 0)+IF(_xlfn.BITAND(M30,H$3)=H$3, G$3, 0)+IF(_xlfn.BITAND(M30,H$4)=H$4, G$4, 0)+IF(_xlfn.BITAND(M30,H$5)=H$5, G$5, 0)+IF(_xlfn.BITAND(M30,H$6)=H$6, G$6, 0)+IF(_xlfn.BITAND(M30,H$7)=H$7, G$7, 0)+IF(_xlfn.BITAND(M30,H$8)=H$8, G$8, 0)+IF(_xlfn.BITAND(M30,H$9)=H$9, G$9, 0)+IF(_xlfn.BITAND(M30,H$10)=H$10, G$10, 0)+IF(_xlfn.BITAND(M30,H$11)=H$11, G$11, 0))</f>
        <v>2.5265625</v>
      </c>
      <c r="P30" s="3" t="n">
        <f aca="false">(G$12/120*L30)</f>
        <v>2.527529296875</v>
      </c>
      <c r="Q30" s="3" t="n">
        <f aca="false">O30*D$3</f>
        <v>7.66373411534702</v>
      </c>
      <c r="R30" s="3" t="n">
        <f aca="false">(1/12)*L30</f>
        <v>7.66666666666667</v>
      </c>
      <c r="S30" s="4" t="n">
        <f aca="false">1/(Q30/R30)</f>
        <v>1.00038265306122</v>
      </c>
    </row>
    <row r="31" customFormat="false" ht="12.8" hidden="false" customHeight="false" outlineLevel="0" collapsed="false">
      <c r="L31" s="0" t="n">
        <v>91</v>
      </c>
      <c r="M31" s="0" t="n">
        <f aca="false">ROUND((1023/120)*L31,0)</f>
        <v>776</v>
      </c>
      <c r="N31" s="11" t="n">
        <v>1100001000</v>
      </c>
      <c r="O31" s="3" t="n">
        <f aca="false">(IF(_xlfn.BITAND(M31,H$2)=H$2, G$2, 0)+IF(_xlfn.BITAND(M31,H$3)=H$3, G$3, 0)+IF(_xlfn.BITAND(M31,H$4)=H$4, G$4, 0)+IF(_xlfn.BITAND(M31,H$5)=H$5, G$5, 0)+IF(_xlfn.BITAND(M31,H$6)=H$6, G$6, 0)+IF(_xlfn.BITAND(M31,H$7)=H$7, G$7, 0)+IF(_xlfn.BITAND(M31,H$8)=H$8, G$8, 0)+IF(_xlfn.BITAND(M31,H$9)=H$9, G$9, 0)+IF(_xlfn.BITAND(M31,H$10)=H$10, G$10, 0)+IF(_xlfn.BITAND(M31,H$11)=H$11, G$11, 0))</f>
        <v>2.50078125</v>
      </c>
      <c r="P31" s="3" t="n">
        <f aca="false">(G$12/120*L31)</f>
        <v>2.50005615234375</v>
      </c>
      <c r="Q31" s="3" t="n">
        <f aca="false">O31*D$3</f>
        <v>7.58553274682307</v>
      </c>
      <c r="R31" s="3" t="n">
        <f aca="false">(1/12)*L31</f>
        <v>7.58333333333333</v>
      </c>
      <c r="S31" s="4" t="n">
        <f aca="false">1/(Q31/R31)</f>
        <v>0.999710051546392</v>
      </c>
    </row>
    <row r="32" customFormat="false" ht="12.8" hidden="false" customHeight="false" outlineLevel="0" collapsed="false">
      <c r="L32" s="0" t="n">
        <v>90</v>
      </c>
      <c r="M32" s="0" t="n">
        <f aca="false">ROUND((1023/120)*L32,0)</f>
        <v>767</v>
      </c>
      <c r="N32" s="11" t="n">
        <v>1011111111</v>
      </c>
      <c r="O32" s="3" t="n">
        <f aca="false">(IF(_xlfn.BITAND(M32,H$2)=H$2, G$2, 0)+IF(_xlfn.BITAND(M32,H$3)=H$3, G$3, 0)+IF(_xlfn.BITAND(M32,H$4)=H$4, G$4, 0)+IF(_xlfn.BITAND(M32,H$5)=H$5, G$5, 0)+IF(_xlfn.BITAND(M32,H$6)=H$6, G$6, 0)+IF(_xlfn.BITAND(M32,H$7)=H$7, G$7, 0)+IF(_xlfn.BITAND(M32,H$8)=H$8, G$8, 0)+IF(_xlfn.BITAND(M32,H$9)=H$9, G$9, 0)+IF(_xlfn.BITAND(M32,H$10)=H$10, G$10, 0)+IF(_xlfn.BITAND(M32,H$11)=H$11, G$11, 0))</f>
        <v>2.4685546875</v>
      </c>
      <c r="P32" s="3" t="n">
        <f aca="false">(G$12/120*L32)</f>
        <v>2.4725830078125</v>
      </c>
      <c r="Q32" s="3" t="n">
        <f aca="false">O32*D$3</f>
        <v>7.48778103616813</v>
      </c>
      <c r="R32" s="3" t="n">
        <f aca="false">(1/12)*L32</f>
        <v>7.5</v>
      </c>
      <c r="S32" s="4" t="n">
        <f aca="false">1/(Q32/R32)</f>
        <v>1.0016318537859</v>
      </c>
    </row>
    <row r="33" customFormat="false" ht="12.8" hidden="false" customHeight="false" outlineLevel="0" collapsed="false">
      <c r="L33" s="0" t="n">
        <v>89</v>
      </c>
      <c r="M33" s="0" t="n">
        <f aca="false">ROUND((1023/120)*L33,0)</f>
        <v>759</v>
      </c>
      <c r="N33" s="11" t="n">
        <v>1011110111</v>
      </c>
      <c r="O33" s="3" t="n">
        <f aca="false">(IF(_xlfn.BITAND(M33,H$2)=H$2, G$2, 0)+IF(_xlfn.BITAND(M33,H$3)=H$3, G$3, 0)+IF(_xlfn.BITAND(M33,H$4)=H$4, G$4, 0)+IF(_xlfn.BITAND(M33,H$5)=H$5, G$5, 0)+IF(_xlfn.BITAND(M33,H$6)=H$6, G$6, 0)+IF(_xlfn.BITAND(M33,H$7)=H$7, G$7, 0)+IF(_xlfn.BITAND(M33,H$8)=H$8, G$8, 0)+IF(_xlfn.BITAND(M33,H$9)=H$9, G$9, 0)+IF(_xlfn.BITAND(M33,H$10)=H$10, G$10, 0)+IF(_xlfn.BITAND(M33,H$11)=H$11, G$11, 0))</f>
        <v>2.4427734375</v>
      </c>
      <c r="P33" s="3" t="n">
        <f aca="false">(G$12/120*L33)</f>
        <v>2.44510986328125</v>
      </c>
      <c r="Q33" s="3" t="n">
        <f aca="false">O33*D$3</f>
        <v>7.40957966764418</v>
      </c>
      <c r="R33" s="3" t="n">
        <f aca="false">(1/12)*L33</f>
        <v>7.41666666666667</v>
      </c>
      <c r="S33" s="4" t="n">
        <f aca="false">1/(Q33/R33)</f>
        <v>1.00095646437995</v>
      </c>
    </row>
    <row r="34" customFormat="false" ht="12.8" hidden="false" customHeight="false" outlineLevel="0" collapsed="false">
      <c r="L34" s="0" t="n">
        <v>88</v>
      </c>
      <c r="M34" s="0" t="n">
        <f aca="false">ROUND((1023/120)*L34,0)</f>
        <v>750</v>
      </c>
      <c r="N34" s="11" t="n">
        <v>1011101110</v>
      </c>
      <c r="O34" s="3" t="n">
        <f aca="false">(IF(_xlfn.BITAND(M34,H$2)=H$2, G$2, 0)+IF(_xlfn.BITAND(M34,H$3)=H$3, G$3, 0)+IF(_xlfn.BITAND(M34,H$4)=H$4, G$4, 0)+IF(_xlfn.BITAND(M34,H$5)=H$5, G$5, 0)+IF(_xlfn.BITAND(M34,H$6)=H$6, G$6, 0)+IF(_xlfn.BITAND(M34,H$7)=H$7, G$7, 0)+IF(_xlfn.BITAND(M34,H$8)=H$8, G$8, 0)+IF(_xlfn.BITAND(M34,H$9)=H$9, G$9, 0)+IF(_xlfn.BITAND(M34,H$10)=H$10, G$10, 0)+IF(_xlfn.BITAND(M34,H$11)=H$11, G$11, 0))</f>
        <v>2.4169921875</v>
      </c>
      <c r="P34" s="3" t="n">
        <f aca="false">(G$12/120*L34)</f>
        <v>2.41763671875</v>
      </c>
      <c r="Q34" s="3" t="n">
        <f aca="false">O34*D$3</f>
        <v>7.33137829912023</v>
      </c>
      <c r="R34" s="3" t="n">
        <f aca="false">(1/12)*L34</f>
        <v>7.33333333333333</v>
      </c>
      <c r="S34" s="4" t="n">
        <f aca="false">1/(Q34/R34)</f>
        <v>1.00026666666667</v>
      </c>
    </row>
    <row r="35" customFormat="false" ht="12.8" hidden="false" customHeight="false" outlineLevel="0" collapsed="false">
      <c r="L35" s="0" t="n">
        <v>87</v>
      </c>
      <c r="M35" s="0" t="n">
        <f aca="false">ROUND((1023/120)*L35,0)</f>
        <v>742</v>
      </c>
      <c r="N35" s="11" t="n">
        <v>1011100110</v>
      </c>
      <c r="O35" s="3" t="n">
        <f aca="false">(IF(_xlfn.BITAND(M35,H$2)=H$2, G$2, 0)+IF(_xlfn.BITAND(M35,H$3)=H$3, G$3, 0)+IF(_xlfn.BITAND(M35,H$4)=H$4, G$4, 0)+IF(_xlfn.BITAND(M35,H$5)=H$5, G$5, 0)+IF(_xlfn.BITAND(M35,H$6)=H$6, G$6, 0)+IF(_xlfn.BITAND(M35,H$7)=H$7, G$7, 0)+IF(_xlfn.BITAND(M35,H$8)=H$8, G$8, 0)+IF(_xlfn.BITAND(M35,H$9)=H$9, G$9, 0)+IF(_xlfn.BITAND(M35,H$10)=H$10, G$10, 0)+IF(_xlfn.BITAND(M35,H$11)=H$11, G$11, 0))</f>
        <v>2.3912109375</v>
      </c>
      <c r="P35" s="3" t="n">
        <f aca="false">(G$12/120*L35)</f>
        <v>2.39016357421875</v>
      </c>
      <c r="Q35" s="3" t="n">
        <f aca="false">O35*D$3</f>
        <v>7.25317693059628</v>
      </c>
      <c r="R35" s="3" t="n">
        <f aca="false">(1/12)*L35</f>
        <v>7.25</v>
      </c>
      <c r="S35" s="4" t="n">
        <f aca="false">1/(Q35/R35)</f>
        <v>0.999561994609165</v>
      </c>
    </row>
    <row r="36" customFormat="false" ht="12.8" hidden="false" customHeight="false" outlineLevel="0" collapsed="false">
      <c r="L36" s="0" t="n">
        <v>86</v>
      </c>
      <c r="M36" s="0" t="n">
        <f aca="false">ROUND((1023/120)*L36,0)</f>
        <v>733</v>
      </c>
      <c r="N36" s="11" t="n">
        <v>1011011101</v>
      </c>
      <c r="O36" s="3" t="n">
        <f aca="false">(IF(_xlfn.BITAND(M36,H$2)=H$2, G$2, 0)+IF(_xlfn.BITAND(M36,H$3)=H$3, G$3, 0)+IF(_xlfn.BITAND(M36,H$4)=H$4, G$4, 0)+IF(_xlfn.BITAND(M36,H$5)=H$5, G$5, 0)+IF(_xlfn.BITAND(M36,H$6)=H$6, G$6, 0)+IF(_xlfn.BITAND(M36,H$7)=H$7, G$7, 0)+IF(_xlfn.BITAND(M36,H$8)=H$8, G$8, 0)+IF(_xlfn.BITAND(M36,H$9)=H$9, G$9, 0)+IF(_xlfn.BITAND(M36,H$10)=H$10, G$10, 0)+IF(_xlfn.BITAND(M36,H$11)=H$11, G$11, 0))</f>
        <v>2.358984375</v>
      </c>
      <c r="P36" s="3" t="n">
        <f aca="false">(G$12/120*L36)</f>
        <v>2.3626904296875</v>
      </c>
      <c r="Q36" s="3" t="n">
        <f aca="false">O36*D$3</f>
        <v>7.15542521994135</v>
      </c>
      <c r="R36" s="3" t="n">
        <f aca="false">(1/12)*L36</f>
        <v>7.16666666666667</v>
      </c>
      <c r="S36" s="4" t="n">
        <f aca="false">1/(Q36/R36)</f>
        <v>1.00157103825137</v>
      </c>
    </row>
    <row r="37" customFormat="false" ht="12.8" hidden="false" customHeight="false" outlineLevel="0" collapsed="false">
      <c r="L37" s="0" t="n">
        <v>85</v>
      </c>
      <c r="M37" s="0" t="n">
        <f aca="false">ROUND((1023/120)*L37,0)</f>
        <v>725</v>
      </c>
      <c r="N37" s="11" t="n">
        <v>1011010101</v>
      </c>
      <c r="O37" s="3" t="n">
        <f aca="false">(IF(_xlfn.BITAND(M37,H$2)=H$2, G$2, 0)+IF(_xlfn.BITAND(M37,H$3)=H$3, G$3, 0)+IF(_xlfn.BITAND(M37,H$4)=H$4, G$4, 0)+IF(_xlfn.BITAND(M37,H$5)=H$5, G$5, 0)+IF(_xlfn.BITAND(M37,H$6)=H$6, G$6, 0)+IF(_xlfn.BITAND(M37,H$7)=H$7, G$7, 0)+IF(_xlfn.BITAND(M37,H$8)=H$8, G$8, 0)+IF(_xlfn.BITAND(M37,H$9)=H$9, G$9, 0)+IF(_xlfn.BITAND(M37,H$10)=H$10, G$10, 0)+IF(_xlfn.BITAND(M37,H$11)=H$11, G$11, 0))</f>
        <v>2.333203125</v>
      </c>
      <c r="P37" s="3" t="n">
        <f aca="false">(G$12/120*L37)</f>
        <v>2.33521728515625</v>
      </c>
      <c r="Q37" s="3" t="n">
        <f aca="false">O37*D$3</f>
        <v>7.0772238514174</v>
      </c>
      <c r="R37" s="3" t="n">
        <f aca="false">(1/12)*L37</f>
        <v>7.08333333333333</v>
      </c>
      <c r="S37" s="4" t="n">
        <f aca="false">1/(Q37/R37)</f>
        <v>1.00086325966851</v>
      </c>
    </row>
    <row r="38" customFormat="false" ht="12.8" hidden="false" customHeight="false" outlineLevel="0" collapsed="false">
      <c r="L38" s="0" t="n">
        <v>84</v>
      </c>
      <c r="M38" s="0" t="n">
        <f aca="false">ROUND((1023/120)*L38,0)</f>
        <v>716</v>
      </c>
      <c r="N38" s="11" t="n">
        <v>1011001100</v>
      </c>
      <c r="O38" s="3" t="n">
        <f aca="false">(IF(_xlfn.BITAND(M38,H$2)=H$2, G$2, 0)+IF(_xlfn.BITAND(M38,H$3)=H$3, G$3, 0)+IF(_xlfn.BITAND(M38,H$4)=H$4, G$4, 0)+IF(_xlfn.BITAND(M38,H$5)=H$5, G$5, 0)+IF(_xlfn.BITAND(M38,H$6)=H$6, G$6, 0)+IF(_xlfn.BITAND(M38,H$7)=H$7, G$7, 0)+IF(_xlfn.BITAND(M38,H$8)=H$8, G$8, 0)+IF(_xlfn.BITAND(M38,H$9)=H$9, G$9, 0)+IF(_xlfn.BITAND(M38,H$10)=H$10, G$10, 0)+IF(_xlfn.BITAND(M38,H$11)=H$11, G$11, 0))</f>
        <v>2.307421875</v>
      </c>
      <c r="P38" s="3" t="n">
        <f aca="false">(G$12/120*L38)</f>
        <v>2.307744140625</v>
      </c>
      <c r="Q38" s="3" t="n">
        <f aca="false">O38*D$3</f>
        <v>6.99902248289345</v>
      </c>
      <c r="R38" s="3" t="n">
        <f aca="false">(1/12)*L38</f>
        <v>7</v>
      </c>
      <c r="S38" s="4" t="n">
        <f aca="false">1/(Q38/R38)</f>
        <v>1.00013966480447</v>
      </c>
    </row>
    <row r="39" customFormat="false" ht="12.8" hidden="false" customHeight="false" outlineLevel="0" collapsed="false">
      <c r="L39" s="0" t="n">
        <v>83</v>
      </c>
      <c r="M39" s="0" t="n">
        <f aca="false">ROUND((1023/120)*L39,0)</f>
        <v>708</v>
      </c>
      <c r="N39" s="11" t="n">
        <v>1011000100</v>
      </c>
      <c r="O39" s="3" t="n">
        <f aca="false">(IF(_xlfn.BITAND(M39,H$2)=H$2, G$2, 0)+IF(_xlfn.BITAND(M39,H$3)=H$3, G$3, 0)+IF(_xlfn.BITAND(M39,H$4)=H$4, G$4, 0)+IF(_xlfn.BITAND(M39,H$5)=H$5, G$5, 0)+IF(_xlfn.BITAND(M39,H$6)=H$6, G$6, 0)+IF(_xlfn.BITAND(M39,H$7)=H$7, G$7, 0)+IF(_xlfn.BITAND(M39,H$8)=H$8, G$8, 0)+IF(_xlfn.BITAND(M39,H$9)=H$9, G$9, 0)+IF(_xlfn.BITAND(M39,H$10)=H$10, G$10, 0)+IF(_xlfn.BITAND(M39,H$11)=H$11, G$11, 0))</f>
        <v>2.281640625</v>
      </c>
      <c r="P39" s="3" t="n">
        <f aca="false">(G$12/120*L39)</f>
        <v>2.28027099609375</v>
      </c>
      <c r="Q39" s="3" t="n">
        <f aca="false">O39*D$3</f>
        <v>6.9208211143695</v>
      </c>
      <c r="R39" s="3" t="n">
        <f aca="false">(1/12)*L39</f>
        <v>6.91666666666667</v>
      </c>
      <c r="S39" s="4" t="n">
        <f aca="false">1/(Q39/R39)</f>
        <v>0.999399717514124</v>
      </c>
    </row>
    <row r="40" customFormat="false" ht="12.8" hidden="false" customHeight="false" outlineLevel="0" collapsed="false">
      <c r="L40" s="0" t="n">
        <v>82</v>
      </c>
      <c r="M40" s="0" t="n">
        <f aca="false">ROUND((1023/120)*L40,0)</f>
        <v>699</v>
      </c>
      <c r="N40" s="11" t="n">
        <v>1010111011</v>
      </c>
      <c r="O40" s="3" t="n">
        <f aca="false">(IF(_xlfn.BITAND(M40,H$2)=H$2, G$2, 0)+IF(_xlfn.BITAND(M40,H$3)=H$3, G$3, 0)+IF(_xlfn.BITAND(M40,H$4)=H$4, G$4, 0)+IF(_xlfn.BITAND(M40,H$5)=H$5, G$5, 0)+IF(_xlfn.BITAND(M40,H$6)=H$6, G$6, 0)+IF(_xlfn.BITAND(M40,H$7)=H$7, G$7, 0)+IF(_xlfn.BITAND(M40,H$8)=H$8, G$8, 0)+IF(_xlfn.BITAND(M40,H$9)=H$9, G$9, 0)+IF(_xlfn.BITAND(M40,H$10)=H$10, G$10, 0)+IF(_xlfn.BITAND(M40,H$11)=H$11, G$11, 0))</f>
        <v>2.2494140625</v>
      </c>
      <c r="P40" s="3" t="n">
        <f aca="false">(G$12/120*L40)</f>
        <v>2.2527978515625</v>
      </c>
      <c r="Q40" s="3" t="n">
        <f aca="false">O40*D$3</f>
        <v>6.82306940371457</v>
      </c>
      <c r="R40" s="3" t="n">
        <f aca="false">(1/12)*L40</f>
        <v>6.83333333333333</v>
      </c>
      <c r="S40" s="4" t="n">
        <f aca="false">1/(Q40/R40)</f>
        <v>1.00150429799427</v>
      </c>
    </row>
    <row r="41" customFormat="false" ht="12.8" hidden="false" customHeight="false" outlineLevel="0" collapsed="false">
      <c r="L41" s="0" t="n">
        <v>81</v>
      </c>
      <c r="M41" s="0" t="n">
        <f aca="false">ROUND((1023/120)*L41,0)</f>
        <v>691</v>
      </c>
      <c r="N41" s="11" t="n">
        <v>1010110011</v>
      </c>
      <c r="O41" s="3" t="n">
        <f aca="false">(IF(_xlfn.BITAND(M41,H$2)=H$2, G$2, 0)+IF(_xlfn.BITAND(M41,H$3)=H$3, G$3, 0)+IF(_xlfn.BITAND(M41,H$4)=H$4, G$4, 0)+IF(_xlfn.BITAND(M41,H$5)=H$5, G$5, 0)+IF(_xlfn.BITAND(M41,H$6)=H$6, G$6, 0)+IF(_xlfn.BITAND(M41,H$7)=H$7, G$7, 0)+IF(_xlfn.BITAND(M41,H$8)=H$8, G$8, 0)+IF(_xlfn.BITAND(M41,H$9)=H$9, G$9, 0)+IF(_xlfn.BITAND(M41,H$10)=H$10, G$10, 0)+IF(_xlfn.BITAND(M41,H$11)=H$11, G$11, 0))</f>
        <v>2.2236328125</v>
      </c>
      <c r="P41" s="3" t="n">
        <f aca="false">(G$12/120*L41)</f>
        <v>2.22532470703125</v>
      </c>
      <c r="Q41" s="3" t="n">
        <f aca="false">O41*D$3</f>
        <v>6.74486803519062</v>
      </c>
      <c r="R41" s="3" t="n">
        <f aca="false">(1/12)*L41</f>
        <v>6.75</v>
      </c>
      <c r="S41" s="4" t="n">
        <f aca="false">1/(Q41/R41)</f>
        <v>1.00076086956522</v>
      </c>
    </row>
    <row r="42" customFormat="false" ht="12.8" hidden="false" customHeight="false" outlineLevel="0" collapsed="false">
      <c r="L42" s="0" t="n">
        <v>80</v>
      </c>
      <c r="M42" s="0" t="n">
        <f aca="false">ROUND((1023/120)*L42,0)</f>
        <v>682</v>
      </c>
      <c r="N42" s="11" t="n">
        <v>1010101010</v>
      </c>
      <c r="O42" s="3" t="n">
        <f aca="false">(IF(_xlfn.BITAND(M42,H$2)=H$2, G$2, 0)+IF(_xlfn.BITAND(M42,H$3)=H$3, G$3, 0)+IF(_xlfn.BITAND(M42,H$4)=H$4, G$4, 0)+IF(_xlfn.BITAND(M42,H$5)=H$5, G$5, 0)+IF(_xlfn.BITAND(M42,H$6)=H$6, G$6, 0)+IF(_xlfn.BITAND(M42,H$7)=H$7, G$7, 0)+IF(_xlfn.BITAND(M42,H$8)=H$8, G$8, 0)+IF(_xlfn.BITAND(M42,H$9)=H$9, G$9, 0)+IF(_xlfn.BITAND(M42,H$10)=H$10, G$10, 0)+IF(_xlfn.BITAND(M42,H$11)=H$11, G$11, 0))</f>
        <v>2.1978515625</v>
      </c>
      <c r="P42" s="3" t="n">
        <f aca="false">(G$12/120*L42)</f>
        <v>2.1978515625</v>
      </c>
      <c r="Q42" s="3" t="n">
        <f aca="false">O42*D$3</f>
        <v>6.66666666666667</v>
      </c>
      <c r="R42" s="3" t="n">
        <f aca="false">(1/12)*L42</f>
        <v>6.66666666666667</v>
      </c>
      <c r="S42" s="4" t="n">
        <f aca="false">1/(Q42/R42)</f>
        <v>1</v>
      </c>
    </row>
    <row r="43" customFormat="false" ht="12.8" hidden="false" customHeight="false" outlineLevel="0" collapsed="false">
      <c r="L43" s="0" t="n">
        <v>79</v>
      </c>
      <c r="M43" s="0" t="n">
        <f aca="false">ROUND((1023/120)*L43,0)</f>
        <v>673</v>
      </c>
      <c r="N43" s="11" t="n">
        <v>1010100001</v>
      </c>
      <c r="O43" s="3" t="n">
        <f aca="false">(IF(_xlfn.BITAND(M43,H$2)=H$2, G$2, 0)+IF(_xlfn.BITAND(M43,H$3)=H$3, G$3, 0)+IF(_xlfn.BITAND(M43,H$4)=H$4, G$4, 0)+IF(_xlfn.BITAND(M43,H$5)=H$5, G$5, 0)+IF(_xlfn.BITAND(M43,H$6)=H$6, G$6, 0)+IF(_xlfn.BITAND(M43,H$7)=H$7, G$7, 0)+IF(_xlfn.BITAND(M43,H$8)=H$8, G$8, 0)+IF(_xlfn.BITAND(M43,H$9)=H$9, G$9, 0)+IF(_xlfn.BITAND(M43,H$10)=H$10, G$10, 0)+IF(_xlfn.BITAND(M43,H$11)=H$11, G$11, 0))</f>
        <v>2.165625</v>
      </c>
      <c r="P43" s="3" t="n">
        <f aca="false">(G$12/120*L43)</f>
        <v>2.17037841796875</v>
      </c>
      <c r="Q43" s="3" t="n">
        <f aca="false">O43*D$3</f>
        <v>6.56891495601173</v>
      </c>
      <c r="R43" s="3" t="n">
        <f aca="false">(1/12)*L43</f>
        <v>6.58333333333333</v>
      </c>
      <c r="S43" s="4" t="n">
        <f aca="false">1/(Q43/R43)</f>
        <v>1.00219494047619</v>
      </c>
    </row>
    <row r="44" customFormat="false" ht="12.8" hidden="false" customHeight="false" outlineLevel="0" collapsed="false">
      <c r="L44" s="0" t="n">
        <v>78</v>
      </c>
      <c r="M44" s="0" t="n">
        <f aca="false">ROUND((1023/120)*L44,0)</f>
        <v>665</v>
      </c>
      <c r="N44" s="11" t="n">
        <v>1010011001</v>
      </c>
      <c r="O44" s="3" t="n">
        <f aca="false">(IF(_xlfn.BITAND(M44,H$2)=H$2, G$2, 0)+IF(_xlfn.BITAND(M44,H$3)=H$3, G$3, 0)+IF(_xlfn.BITAND(M44,H$4)=H$4, G$4, 0)+IF(_xlfn.BITAND(M44,H$5)=H$5, G$5, 0)+IF(_xlfn.BITAND(M44,H$6)=H$6, G$6, 0)+IF(_xlfn.BITAND(M44,H$7)=H$7, G$7, 0)+IF(_xlfn.BITAND(M44,H$8)=H$8, G$8, 0)+IF(_xlfn.BITAND(M44,H$9)=H$9, G$9, 0)+IF(_xlfn.BITAND(M44,H$10)=H$10, G$10, 0)+IF(_xlfn.BITAND(M44,H$11)=H$11, G$11, 0))</f>
        <v>2.13984375</v>
      </c>
      <c r="P44" s="3" t="n">
        <f aca="false">(G$12/120*L44)</f>
        <v>2.1429052734375</v>
      </c>
      <c r="Q44" s="3" t="n">
        <f aca="false">O44*D$3</f>
        <v>6.49071358748778</v>
      </c>
      <c r="R44" s="3" t="n">
        <f aca="false">(1/12)*L44</f>
        <v>6.5</v>
      </c>
      <c r="S44" s="4" t="n">
        <f aca="false">1/(Q44/R44)</f>
        <v>1.00143072289157</v>
      </c>
    </row>
    <row r="45" customFormat="false" ht="12.8" hidden="false" customHeight="false" outlineLevel="0" collapsed="false">
      <c r="L45" s="0" t="n">
        <v>77</v>
      </c>
      <c r="M45" s="0" t="n">
        <f aca="false">ROUND((1023/120)*L45,0)</f>
        <v>656</v>
      </c>
      <c r="N45" s="11" t="n">
        <v>1010010000</v>
      </c>
      <c r="O45" s="3" t="n">
        <f aca="false">(IF(_xlfn.BITAND(M45,H$2)=H$2, G$2, 0)+IF(_xlfn.BITAND(M45,H$3)=H$3, G$3, 0)+IF(_xlfn.BITAND(M45,H$4)=H$4, G$4, 0)+IF(_xlfn.BITAND(M45,H$5)=H$5, G$5, 0)+IF(_xlfn.BITAND(M45,H$6)=H$6, G$6, 0)+IF(_xlfn.BITAND(M45,H$7)=H$7, G$7, 0)+IF(_xlfn.BITAND(M45,H$8)=H$8, G$8, 0)+IF(_xlfn.BITAND(M45,H$9)=H$9, G$9, 0)+IF(_xlfn.BITAND(M45,H$10)=H$10, G$10, 0)+IF(_xlfn.BITAND(M45,H$11)=H$11, G$11, 0))</f>
        <v>2.1140625</v>
      </c>
      <c r="P45" s="3" t="n">
        <f aca="false">(G$12/120*L45)</f>
        <v>2.11543212890625</v>
      </c>
      <c r="Q45" s="3" t="n">
        <f aca="false">O45*D$3</f>
        <v>6.41251221896383</v>
      </c>
      <c r="R45" s="3" t="n">
        <f aca="false">(1/12)*L45</f>
        <v>6.41666666666667</v>
      </c>
      <c r="S45" s="4" t="n">
        <f aca="false">1/(Q45/R45)</f>
        <v>1.00064786585366</v>
      </c>
    </row>
    <row r="46" customFormat="false" ht="12.8" hidden="false" customHeight="false" outlineLevel="0" collapsed="false">
      <c r="L46" s="0" t="n">
        <v>76</v>
      </c>
      <c r="M46" s="0" t="n">
        <f aca="false">ROUND((1023/120)*L46,0)</f>
        <v>648</v>
      </c>
      <c r="N46" s="11" t="n">
        <v>1010001000</v>
      </c>
      <c r="O46" s="3" t="n">
        <f aca="false">(IF(_xlfn.BITAND(M46,H$2)=H$2, G$2, 0)+IF(_xlfn.BITAND(M46,H$3)=H$3, G$3, 0)+IF(_xlfn.BITAND(M46,H$4)=H$4, G$4, 0)+IF(_xlfn.BITAND(M46,H$5)=H$5, G$5, 0)+IF(_xlfn.BITAND(M46,H$6)=H$6, G$6, 0)+IF(_xlfn.BITAND(M46,H$7)=H$7, G$7, 0)+IF(_xlfn.BITAND(M46,H$8)=H$8, G$8, 0)+IF(_xlfn.BITAND(M46,H$9)=H$9, G$9, 0)+IF(_xlfn.BITAND(M46,H$10)=H$10, G$10, 0)+IF(_xlfn.BITAND(M46,H$11)=H$11, G$11, 0))</f>
        <v>2.08828125</v>
      </c>
      <c r="P46" s="3" t="n">
        <f aca="false">(G$12/120*L46)</f>
        <v>2.087958984375</v>
      </c>
      <c r="Q46" s="3" t="n">
        <f aca="false">O46*D$3</f>
        <v>6.33431085043988</v>
      </c>
      <c r="R46" s="3" t="n">
        <f aca="false">(1/12)*L46</f>
        <v>6.33333333333333</v>
      </c>
      <c r="S46" s="4" t="n">
        <f aca="false">1/(Q46/R46)</f>
        <v>0.999845679012346</v>
      </c>
    </row>
    <row r="47" customFormat="false" ht="12.8" hidden="false" customHeight="false" outlineLevel="0" collapsed="false">
      <c r="L47" s="0" t="n">
        <v>75</v>
      </c>
      <c r="M47" s="0" t="n">
        <f aca="false">ROUND((1023/120)*L47,0)</f>
        <v>639</v>
      </c>
      <c r="N47" s="11" t="n">
        <v>1001111111</v>
      </c>
      <c r="O47" s="3" t="n">
        <f aca="false">(IF(_xlfn.BITAND(M47,H$2)=H$2, G$2, 0)+IF(_xlfn.BITAND(M47,H$3)=H$3, G$3, 0)+IF(_xlfn.BITAND(M47,H$4)=H$4, G$4, 0)+IF(_xlfn.BITAND(M47,H$5)=H$5, G$5, 0)+IF(_xlfn.BITAND(M47,H$6)=H$6, G$6, 0)+IF(_xlfn.BITAND(M47,H$7)=H$7, G$7, 0)+IF(_xlfn.BITAND(M47,H$8)=H$8, G$8, 0)+IF(_xlfn.BITAND(M47,H$9)=H$9, G$9, 0)+IF(_xlfn.BITAND(M47,H$10)=H$10, G$10, 0)+IF(_xlfn.BITAND(M47,H$11)=H$11, G$11, 0))</f>
        <v>2.0560546875</v>
      </c>
      <c r="P47" s="3" t="n">
        <f aca="false">(G$12/120*L47)</f>
        <v>2.06048583984375</v>
      </c>
      <c r="Q47" s="3" t="n">
        <f aca="false">O47*D$3</f>
        <v>6.23655913978495</v>
      </c>
      <c r="R47" s="3" t="n">
        <f aca="false">(1/12)*L47</f>
        <v>6.25</v>
      </c>
      <c r="S47" s="4" t="n">
        <f aca="false">1/(Q47/R47)</f>
        <v>1.00215517241379</v>
      </c>
    </row>
    <row r="48" customFormat="false" ht="12.8" hidden="false" customHeight="false" outlineLevel="0" collapsed="false">
      <c r="L48" s="0" t="n">
        <v>74</v>
      </c>
      <c r="M48" s="0" t="n">
        <f aca="false">ROUND((1023/120)*L48,0)</f>
        <v>631</v>
      </c>
      <c r="N48" s="11" t="n">
        <v>1001110111</v>
      </c>
      <c r="O48" s="3" t="n">
        <f aca="false">(IF(_xlfn.BITAND(M48,H$2)=H$2, G$2, 0)+IF(_xlfn.BITAND(M48,H$3)=H$3, G$3, 0)+IF(_xlfn.BITAND(M48,H$4)=H$4, G$4, 0)+IF(_xlfn.BITAND(M48,H$5)=H$5, G$5, 0)+IF(_xlfn.BITAND(M48,H$6)=H$6, G$6, 0)+IF(_xlfn.BITAND(M48,H$7)=H$7, G$7, 0)+IF(_xlfn.BITAND(M48,H$8)=H$8, G$8, 0)+IF(_xlfn.BITAND(M48,H$9)=H$9, G$9, 0)+IF(_xlfn.BITAND(M48,H$10)=H$10, G$10, 0)+IF(_xlfn.BITAND(M48,H$11)=H$11, G$11, 0))</f>
        <v>2.0302734375</v>
      </c>
      <c r="P48" s="3" t="n">
        <f aca="false">(G$12/120*L48)</f>
        <v>2.0330126953125</v>
      </c>
      <c r="Q48" s="3" t="n">
        <f aca="false">O48*D$3</f>
        <v>6.158357771261</v>
      </c>
      <c r="R48" s="3" t="n">
        <f aca="false">(1/12)*L48</f>
        <v>6.16666666666667</v>
      </c>
      <c r="S48" s="4" t="n">
        <f aca="false">1/(Q48/R48)</f>
        <v>1.00134920634921</v>
      </c>
    </row>
    <row r="49" customFormat="false" ht="12.8" hidden="false" customHeight="false" outlineLevel="0" collapsed="false">
      <c r="L49" s="0" t="n">
        <v>73</v>
      </c>
      <c r="M49" s="0" t="n">
        <f aca="false">ROUND((1023/120)*L49,0)</f>
        <v>622</v>
      </c>
      <c r="N49" s="11" t="n">
        <v>1001101110</v>
      </c>
      <c r="O49" s="3" t="n">
        <f aca="false">(IF(_xlfn.BITAND(M49,H$2)=H$2, G$2, 0)+IF(_xlfn.BITAND(M49,H$3)=H$3, G$3, 0)+IF(_xlfn.BITAND(M49,H$4)=H$4, G$4, 0)+IF(_xlfn.BITAND(M49,H$5)=H$5, G$5, 0)+IF(_xlfn.BITAND(M49,H$6)=H$6, G$6, 0)+IF(_xlfn.BITAND(M49,H$7)=H$7, G$7, 0)+IF(_xlfn.BITAND(M49,H$8)=H$8, G$8, 0)+IF(_xlfn.BITAND(M49,H$9)=H$9, G$9, 0)+IF(_xlfn.BITAND(M49,H$10)=H$10, G$10, 0)+IF(_xlfn.BITAND(M49,H$11)=H$11, G$11, 0))</f>
        <v>2.0044921875</v>
      </c>
      <c r="P49" s="3" t="n">
        <f aca="false">(G$12/120*L49)</f>
        <v>2.00553955078125</v>
      </c>
      <c r="Q49" s="3" t="n">
        <f aca="false">O49*D$3</f>
        <v>6.08015640273705</v>
      </c>
      <c r="R49" s="3" t="n">
        <f aca="false">(1/12)*L49</f>
        <v>6.08333333333333</v>
      </c>
      <c r="S49" s="4" t="n">
        <f aca="false">1/(Q49/R49)</f>
        <v>1.00052250803859</v>
      </c>
    </row>
    <row r="50" customFormat="false" ht="12.8" hidden="false" customHeight="false" outlineLevel="0" collapsed="false">
      <c r="L50" s="0" t="n">
        <v>72</v>
      </c>
      <c r="M50" s="0" t="n">
        <f aca="false">ROUND((1023/120)*L50,0)</f>
        <v>614</v>
      </c>
      <c r="N50" s="11" t="n">
        <v>1001100110</v>
      </c>
      <c r="O50" s="3" t="n">
        <f aca="false">(IF(_xlfn.BITAND(M50,H$2)=H$2, G$2, 0)+IF(_xlfn.BITAND(M50,H$3)=H$3, G$3, 0)+IF(_xlfn.BITAND(M50,H$4)=H$4, G$4, 0)+IF(_xlfn.BITAND(M50,H$5)=H$5, G$5, 0)+IF(_xlfn.BITAND(M50,H$6)=H$6, G$6, 0)+IF(_xlfn.BITAND(M50,H$7)=H$7, G$7, 0)+IF(_xlfn.BITAND(M50,H$8)=H$8, G$8, 0)+IF(_xlfn.BITAND(M50,H$9)=H$9, G$9, 0)+IF(_xlfn.BITAND(M50,H$10)=H$10, G$10, 0)+IF(_xlfn.BITAND(M50,H$11)=H$11, G$11, 0))</f>
        <v>1.9787109375</v>
      </c>
      <c r="P50" s="3" t="n">
        <f aca="false">(G$12/120*L50)</f>
        <v>1.97806640625</v>
      </c>
      <c r="Q50" s="3" t="n">
        <f aca="false">O50*D$3</f>
        <v>6.0019550342131</v>
      </c>
      <c r="R50" s="3" t="n">
        <f aca="false">(1/12)*L50</f>
        <v>6</v>
      </c>
      <c r="S50" s="4" t="n">
        <f aca="false">1/(Q50/R50)</f>
        <v>0.999674267100977</v>
      </c>
    </row>
    <row r="51" customFormat="false" ht="12.8" hidden="false" customHeight="false" outlineLevel="0" collapsed="false">
      <c r="L51" s="0" t="n">
        <v>71</v>
      </c>
      <c r="M51" s="0" t="n">
        <f aca="false">ROUND((1023/120)*L51,0)</f>
        <v>605</v>
      </c>
      <c r="N51" s="11" t="n">
        <v>1001011101</v>
      </c>
      <c r="O51" s="3" t="n">
        <f aca="false">(IF(_xlfn.BITAND(M51,H$2)=H$2, G$2, 0)+IF(_xlfn.BITAND(M51,H$3)=H$3, G$3, 0)+IF(_xlfn.BITAND(M51,H$4)=H$4, G$4, 0)+IF(_xlfn.BITAND(M51,H$5)=H$5, G$5, 0)+IF(_xlfn.BITAND(M51,H$6)=H$6, G$6, 0)+IF(_xlfn.BITAND(M51,H$7)=H$7, G$7, 0)+IF(_xlfn.BITAND(M51,H$8)=H$8, G$8, 0)+IF(_xlfn.BITAND(M51,H$9)=H$9, G$9, 0)+IF(_xlfn.BITAND(M51,H$10)=H$10, G$10, 0)+IF(_xlfn.BITAND(M51,H$11)=H$11, G$11, 0))</f>
        <v>1.946484375</v>
      </c>
      <c r="P51" s="3" t="n">
        <f aca="false">(G$12/120*L51)</f>
        <v>1.95059326171875</v>
      </c>
      <c r="Q51" s="3" t="n">
        <f aca="false">O51*D$3</f>
        <v>5.90420332355816</v>
      </c>
      <c r="R51" s="3" t="n">
        <f aca="false">(1/12)*L51</f>
        <v>5.91666666666667</v>
      </c>
      <c r="S51" s="4" t="n">
        <f aca="false">1/(Q51/R51)</f>
        <v>1.00211092715232</v>
      </c>
    </row>
    <row r="52" customFormat="false" ht="12.8" hidden="false" customHeight="false" outlineLevel="0" collapsed="false">
      <c r="L52" s="0" t="n">
        <v>70</v>
      </c>
      <c r="M52" s="0" t="n">
        <f aca="false">ROUND((1023/120)*L52,0)</f>
        <v>597</v>
      </c>
      <c r="N52" s="11" t="n">
        <v>1001010101</v>
      </c>
      <c r="O52" s="3" t="n">
        <f aca="false">(IF(_xlfn.BITAND(M52,H$2)=H$2, G$2, 0)+IF(_xlfn.BITAND(M52,H$3)=H$3, G$3, 0)+IF(_xlfn.BITAND(M52,H$4)=H$4, G$4, 0)+IF(_xlfn.BITAND(M52,H$5)=H$5, G$5, 0)+IF(_xlfn.BITAND(M52,H$6)=H$6, G$6, 0)+IF(_xlfn.BITAND(M52,H$7)=H$7, G$7, 0)+IF(_xlfn.BITAND(M52,H$8)=H$8, G$8, 0)+IF(_xlfn.BITAND(M52,H$9)=H$9, G$9, 0)+IF(_xlfn.BITAND(M52,H$10)=H$10, G$10, 0)+IF(_xlfn.BITAND(M52,H$11)=H$11, G$11, 0))</f>
        <v>1.920703125</v>
      </c>
      <c r="P52" s="3" t="n">
        <f aca="false">(G$12/120*L52)</f>
        <v>1.9231201171875</v>
      </c>
      <c r="Q52" s="3" t="n">
        <f aca="false">O52*D$3</f>
        <v>5.82600195503421</v>
      </c>
      <c r="R52" s="3" t="n">
        <f aca="false">(1/12)*L52</f>
        <v>5.83333333333333</v>
      </c>
      <c r="S52" s="4" t="n">
        <f aca="false">1/(Q52/R52)</f>
        <v>1.00125838926175</v>
      </c>
    </row>
    <row r="53" customFormat="false" ht="12.8" hidden="false" customHeight="false" outlineLevel="0" collapsed="false">
      <c r="L53" s="0" t="n">
        <v>69</v>
      </c>
      <c r="M53" s="0" t="n">
        <f aca="false">ROUND((1023/120)*L53,0)</f>
        <v>588</v>
      </c>
      <c r="N53" s="11" t="n">
        <v>1001001100</v>
      </c>
      <c r="O53" s="3" t="n">
        <f aca="false">(IF(_xlfn.BITAND(M53,H$2)=H$2, G$2, 0)+IF(_xlfn.BITAND(M53,H$3)=H$3, G$3, 0)+IF(_xlfn.BITAND(M53,H$4)=H$4, G$4, 0)+IF(_xlfn.BITAND(M53,H$5)=H$5, G$5, 0)+IF(_xlfn.BITAND(M53,H$6)=H$6, G$6, 0)+IF(_xlfn.BITAND(M53,H$7)=H$7, G$7, 0)+IF(_xlfn.BITAND(M53,H$8)=H$8, G$8, 0)+IF(_xlfn.BITAND(M53,H$9)=H$9, G$9, 0)+IF(_xlfn.BITAND(M53,H$10)=H$10, G$10, 0)+IF(_xlfn.BITAND(M53,H$11)=H$11, G$11, 0))</f>
        <v>1.894921875</v>
      </c>
      <c r="P53" s="3" t="n">
        <f aca="false">(G$12/120*L53)</f>
        <v>1.89564697265625</v>
      </c>
      <c r="Q53" s="3" t="n">
        <f aca="false">O53*D$3</f>
        <v>5.74780058651026</v>
      </c>
      <c r="R53" s="3" t="n">
        <f aca="false">(1/12)*L53</f>
        <v>5.75</v>
      </c>
      <c r="S53" s="4" t="n">
        <f aca="false">1/(Q53/R53)</f>
        <v>1.00038265306122</v>
      </c>
    </row>
    <row r="54" customFormat="false" ht="12.8" hidden="false" customHeight="false" outlineLevel="0" collapsed="false">
      <c r="L54" s="0" t="n">
        <v>68</v>
      </c>
      <c r="M54" s="0" t="n">
        <f aca="false">ROUND((1023/120)*L54,0)</f>
        <v>580</v>
      </c>
      <c r="N54" s="11" t="n">
        <v>1001000100</v>
      </c>
      <c r="O54" s="3" t="n">
        <f aca="false">(IF(_xlfn.BITAND(M54,H$2)=H$2, G$2, 0)+IF(_xlfn.BITAND(M54,H$3)=H$3, G$3, 0)+IF(_xlfn.BITAND(M54,H$4)=H$4, G$4, 0)+IF(_xlfn.BITAND(M54,H$5)=H$5, G$5, 0)+IF(_xlfn.BITAND(M54,H$6)=H$6, G$6, 0)+IF(_xlfn.BITAND(M54,H$7)=H$7, G$7, 0)+IF(_xlfn.BITAND(M54,H$8)=H$8, G$8, 0)+IF(_xlfn.BITAND(M54,H$9)=H$9, G$9, 0)+IF(_xlfn.BITAND(M54,H$10)=H$10, G$10, 0)+IF(_xlfn.BITAND(M54,H$11)=H$11, G$11, 0))</f>
        <v>1.869140625</v>
      </c>
      <c r="P54" s="3" t="n">
        <f aca="false">(G$12/120*L54)</f>
        <v>1.868173828125</v>
      </c>
      <c r="Q54" s="3" t="n">
        <f aca="false">O54*D$3</f>
        <v>5.66959921798631</v>
      </c>
      <c r="R54" s="3" t="n">
        <f aca="false">(1/12)*L54</f>
        <v>5.66666666666667</v>
      </c>
      <c r="S54" s="4" t="n">
        <f aca="false">1/(Q54/R54)</f>
        <v>0.99948275862069</v>
      </c>
    </row>
    <row r="55" customFormat="false" ht="12.8" hidden="false" customHeight="false" outlineLevel="0" collapsed="false">
      <c r="L55" s="0" t="n">
        <v>67</v>
      </c>
      <c r="M55" s="0" t="n">
        <f aca="false">ROUND((1023/120)*L55,0)</f>
        <v>571</v>
      </c>
      <c r="N55" s="11" t="n">
        <v>1000111011</v>
      </c>
      <c r="O55" s="3" t="n">
        <f aca="false">(IF(_xlfn.BITAND(M55,H$2)=H$2, G$2, 0)+IF(_xlfn.BITAND(M55,H$3)=H$3, G$3, 0)+IF(_xlfn.BITAND(M55,H$4)=H$4, G$4, 0)+IF(_xlfn.BITAND(M55,H$5)=H$5, G$5, 0)+IF(_xlfn.BITAND(M55,H$6)=H$6, G$6, 0)+IF(_xlfn.BITAND(M55,H$7)=H$7, G$7, 0)+IF(_xlfn.BITAND(M55,H$8)=H$8, G$8, 0)+IF(_xlfn.BITAND(M55,H$9)=H$9, G$9, 0)+IF(_xlfn.BITAND(M55,H$10)=H$10, G$10, 0)+IF(_xlfn.BITAND(M55,H$11)=H$11, G$11, 0))</f>
        <v>1.8369140625</v>
      </c>
      <c r="P55" s="3" t="n">
        <f aca="false">(G$12/120*L55)</f>
        <v>1.84070068359375</v>
      </c>
      <c r="Q55" s="3" t="n">
        <f aca="false">O55*D$3</f>
        <v>5.57184750733138</v>
      </c>
      <c r="R55" s="3" t="n">
        <f aca="false">(1/12)*L55</f>
        <v>5.58333333333333</v>
      </c>
      <c r="S55" s="4" t="n">
        <f aca="false">1/(Q55/R55)</f>
        <v>1.00206140350877</v>
      </c>
    </row>
    <row r="56" customFormat="false" ht="12.8" hidden="false" customHeight="false" outlineLevel="0" collapsed="false">
      <c r="L56" s="0" t="n">
        <v>66</v>
      </c>
      <c r="M56" s="0" t="n">
        <f aca="false">ROUND((1023/120)*L56,0)</f>
        <v>563</v>
      </c>
      <c r="N56" s="11" t="n">
        <v>1000110011</v>
      </c>
      <c r="O56" s="3" t="n">
        <f aca="false">(IF(_xlfn.BITAND(M56,H$2)=H$2, G$2, 0)+IF(_xlfn.BITAND(M56,H$3)=H$3, G$3, 0)+IF(_xlfn.BITAND(M56,H$4)=H$4, G$4, 0)+IF(_xlfn.BITAND(M56,H$5)=H$5, G$5, 0)+IF(_xlfn.BITAND(M56,H$6)=H$6, G$6, 0)+IF(_xlfn.BITAND(M56,H$7)=H$7, G$7, 0)+IF(_xlfn.BITAND(M56,H$8)=H$8, G$8, 0)+IF(_xlfn.BITAND(M56,H$9)=H$9, G$9, 0)+IF(_xlfn.BITAND(M56,H$10)=H$10, G$10, 0)+IF(_xlfn.BITAND(M56,H$11)=H$11, G$11, 0))</f>
        <v>1.8111328125</v>
      </c>
      <c r="P56" s="3" t="n">
        <f aca="false">(G$12/120*L56)</f>
        <v>1.8132275390625</v>
      </c>
      <c r="Q56" s="3" t="n">
        <f aca="false">O56*D$3</f>
        <v>5.49364613880743</v>
      </c>
      <c r="R56" s="3" t="n">
        <f aca="false">(1/12)*L56</f>
        <v>5.5</v>
      </c>
      <c r="S56" s="4" t="n">
        <f aca="false">1/(Q56/R56)</f>
        <v>1.00115658362989</v>
      </c>
    </row>
    <row r="57" customFormat="false" ht="12.8" hidden="false" customHeight="false" outlineLevel="0" collapsed="false">
      <c r="L57" s="0" t="n">
        <v>65</v>
      </c>
      <c r="M57" s="0" t="n">
        <f aca="false">ROUND((1023/120)*L57,0)</f>
        <v>554</v>
      </c>
      <c r="N57" s="11" t="n">
        <v>1000101010</v>
      </c>
      <c r="O57" s="3" t="n">
        <f aca="false">(IF(_xlfn.BITAND(M57,H$2)=H$2, G$2, 0)+IF(_xlfn.BITAND(M57,H$3)=H$3, G$3, 0)+IF(_xlfn.BITAND(M57,H$4)=H$4, G$4, 0)+IF(_xlfn.BITAND(M57,H$5)=H$5, G$5, 0)+IF(_xlfn.BITAND(M57,H$6)=H$6, G$6, 0)+IF(_xlfn.BITAND(M57,H$7)=H$7, G$7, 0)+IF(_xlfn.BITAND(M57,H$8)=H$8, G$8, 0)+IF(_xlfn.BITAND(M57,H$9)=H$9, G$9, 0)+IF(_xlfn.BITAND(M57,H$10)=H$10, G$10, 0)+IF(_xlfn.BITAND(M57,H$11)=H$11, G$11, 0))</f>
        <v>1.7853515625</v>
      </c>
      <c r="P57" s="3" t="n">
        <f aca="false">(G$12/120*L57)</f>
        <v>1.78575439453125</v>
      </c>
      <c r="Q57" s="3" t="n">
        <f aca="false">O57*D$3</f>
        <v>5.41544477028348</v>
      </c>
      <c r="R57" s="3" t="n">
        <f aca="false">(1/12)*L57</f>
        <v>5.41666666666667</v>
      </c>
      <c r="S57" s="4" t="n">
        <f aca="false">1/(Q57/R57)</f>
        <v>1.00022563176895</v>
      </c>
    </row>
    <row r="58" customFormat="false" ht="12.8" hidden="false" customHeight="false" outlineLevel="0" collapsed="false">
      <c r="L58" s="0" t="n">
        <v>64</v>
      </c>
      <c r="M58" s="0" t="n">
        <f aca="false">ROUND((1023/120)*L58,0)</f>
        <v>546</v>
      </c>
      <c r="N58" s="11" t="n">
        <v>1000100010</v>
      </c>
      <c r="O58" s="3" t="n">
        <f aca="false">(IF(_xlfn.BITAND(M58,H$2)=H$2, G$2, 0)+IF(_xlfn.BITAND(M58,H$3)=H$3, G$3, 0)+IF(_xlfn.BITAND(M58,H$4)=H$4, G$4, 0)+IF(_xlfn.BITAND(M58,H$5)=H$5, G$5, 0)+IF(_xlfn.BITAND(M58,H$6)=H$6, G$6, 0)+IF(_xlfn.BITAND(M58,H$7)=H$7, G$7, 0)+IF(_xlfn.BITAND(M58,H$8)=H$8, G$8, 0)+IF(_xlfn.BITAND(M58,H$9)=H$9, G$9, 0)+IF(_xlfn.BITAND(M58,H$10)=H$10, G$10, 0)+IF(_xlfn.BITAND(M58,H$11)=H$11, G$11, 0))</f>
        <v>1.7595703125</v>
      </c>
      <c r="P58" s="3" t="n">
        <f aca="false">(G$12/120*L58)</f>
        <v>1.75828125</v>
      </c>
      <c r="Q58" s="3" t="n">
        <f aca="false">O58*D$3</f>
        <v>5.33724340175953</v>
      </c>
      <c r="R58" s="3" t="n">
        <f aca="false">(1/12)*L58</f>
        <v>5.33333333333333</v>
      </c>
      <c r="S58" s="4" t="n">
        <f aca="false">1/(Q58/R58)</f>
        <v>0.9992673992674</v>
      </c>
    </row>
    <row r="59" customFormat="false" ht="12.8" hidden="false" customHeight="false" outlineLevel="0" collapsed="false">
      <c r="L59" s="0" t="n">
        <v>63</v>
      </c>
      <c r="M59" s="0" t="n">
        <f aca="false">ROUND((1023/120)*L59,0)</f>
        <v>537</v>
      </c>
      <c r="N59" s="11" t="n">
        <v>1000011001</v>
      </c>
      <c r="O59" s="3" t="n">
        <f aca="false">(IF(_xlfn.BITAND(M59,H$2)=H$2, G$2, 0)+IF(_xlfn.BITAND(M59,H$3)=H$3, G$3, 0)+IF(_xlfn.BITAND(M59,H$4)=H$4, G$4, 0)+IF(_xlfn.BITAND(M59,H$5)=H$5, G$5, 0)+IF(_xlfn.BITAND(M59,H$6)=H$6, G$6, 0)+IF(_xlfn.BITAND(M59,H$7)=H$7, G$7, 0)+IF(_xlfn.BITAND(M59,H$8)=H$8, G$8, 0)+IF(_xlfn.BITAND(M59,H$9)=H$9, G$9, 0)+IF(_xlfn.BITAND(M59,H$10)=H$10, G$10, 0)+IF(_xlfn.BITAND(M59,H$11)=H$11, G$11, 0))</f>
        <v>1.72734375</v>
      </c>
      <c r="P59" s="3" t="n">
        <f aca="false">(G$12/120*L59)</f>
        <v>1.73080810546875</v>
      </c>
      <c r="Q59" s="3" t="n">
        <f aca="false">O59*D$3</f>
        <v>5.23949169110459</v>
      </c>
      <c r="R59" s="3" t="n">
        <f aca="false">(1/12)*L59</f>
        <v>5.25</v>
      </c>
      <c r="S59" s="4" t="n">
        <f aca="false">1/(Q59/R59)</f>
        <v>1.00200559701493</v>
      </c>
    </row>
    <row r="60" customFormat="false" ht="12.8" hidden="false" customHeight="false" outlineLevel="0" collapsed="false">
      <c r="L60" s="0" t="n">
        <v>62</v>
      </c>
      <c r="M60" s="0" t="n">
        <f aca="false">ROUND((1023/120)*L60,0)</f>
        <v>529</v>
      </c>
      <c r="N60" s="11" t="n">
        <v>1000010001</v>
      </c>
      <c r="O60" s="3" t="n">
        <f aca="false">(IF(_xlfn.BITAND(M60,H$2)=H$2, G$2, 0)+IF(_xlfn.BITAND(M60,H$3)=H$3, G$3, 0)+IF(_xlfn.BITAND(M60,H$4)=H$4, G$4, 0)+IF(_xlfn.BITAND(M60,H$5)=H$5, G$5, 0)+IF(_xlfn.BITAND(M60,H$6)=H$6, G$6, 0)+IF(_xlfn.BITAND(M60,H$7)=H$7, G$7, 0)+IF(_xlfn.BITAND(M60,H$8)=H$8, G$8, 0)+IF(_xlfn.BITAND(M60,H$9)=H$9, G$9, 0)+IF(_xlfn.BITAND(M60,H$10)=H$10, G$10, 0)+IF(_xlfn.BITAND(M60,H$11)=H$11, G$11, 0))</f>
        <v>1.7015625</v>
      </c>
      <c r="P60" s="3" t="n">
        <f aca="false">(G$12/120*L60)</f>
        <v>1.7033349609375</v>
      </c>
      <c r="Q60" s="3" t="n">
        <f aca="false">O60*D$3</f>
        <v>5.16129032258064</v>
      </c>
      <c r="R60" s="3" t="n">
        <f aca="false">(1/12)*L60</f>
        <v>5.16666666666667</v>
      </c>
      <c r="S60" s="4" t="n">
        <f aca="false">1/(Q60/R60)</f>
        <v>1.00104166666667</v>
      </c>
    </row>
    <row r="61" customFormat="false" ht="12.8" hidden="false" customHeight="false" outlineLevel="0" collapsed="false">
      <c r="L61" s="0" t="n">
        <v>61</v>
      </c>
      <c r="M61" s="0" t="n">
        <f aca="false">ROUND((1023/120)*L61,0)</f>
        <v>520</v>
      </c>
      <c r="N61" s="11" t="n">
        <v>1000001000</v>
      </c>
      <c r="O61" s="3" t="n">
        <f aca="false">(IF(_xlfn.BITAND(M61,H$2)=H$2, G$2, 0)+IF(_xlfn.BITAND(M61,H$3)=H$3, G$3, 0)+IF(_xlfn.BITAND(M61,H$4)=H$4, G$4, 0)+IF(_xlfn.BITAND(M61,H$5)=H$5, G$5, 0)+IF(_xlfn.BITAND(M61,H$6)=H$6, G$6, 0)+IF(_xlfn.BITAND(M61,H$7)=H$7, G$7, 0)+IF(_xlfn.BITAND(M61,H$8)=H$8, G$8, 0)+IF(_xlfn.BITAND(M61,H$9)=H$9, G$9, 0)+IF(_xlfn.BITAND(M61,H$10)=H$10, G$10, 0)+IF(_xlfn.BITAND(M61,H$11)=H$11, G$11, 0))</f>
        <v>1.67578125</v>
      </c>
      <c r="P61" s="3" t="n">
        <f aca="false">(G$12/120*L61)</f>
        <v>1.67586181640625</v>
      </c>
      <c r="Q61" s="3" t="n">
        <f aca="false">O61*D$3</f>
        <v>5.0830889540567</v>
      </c>
      <c r="R61" s="3" t="n">
        <f aca="false">(1/12)*L61</f>
        <v>5.08333333333333</v>
      </c>
      <c r="S61" s="4" t="n">
        <f aca="false">1/(Q61/R61)</f>
        <v>1.00004807692308</v>
      </c>
    </row>
    <row r="62" customFormat="false" ht="12.8" hidden="false" customHeight="false" outlineLevel="0" collapsed="false">
      <c r="L62" s="0" t="n">
        <v>60</v>
      </c>
      <c r="M62" s="0" t="n">
        <f aca="false">ROUND((1023/120)*L62,0)</f>
        <v>512</v>
      </c>
      <c r="N62" s="12" t="n">
        <v>1000000000</v>
      </c>
      <c r="O62" s="3" t="n">
        <f aca="false">(IF(_xlfn.BITAND(M62,H$2)=H$2, G$2, 0)+IF(_xlfn.BITAND(M62,H$3)=H$3, G$3, 0)+IF(_xlfn.BITAND(M62,H$4)=H$4, G$4, 0)+IF(_xlfn.BITAND(M62,H$5)=H$5, G$5, 0)+IF(_xlfn.BITAND(M62,H$6)=H$6, G$6, 0)+IF(_xlfn.BITAND(M62,H$7)=H$7, G$7, 0)+IF(_xlfn.BITAND(M62,H$8)=H$8, G$8, 0)+IF(_xlfn.BITAND(M62,H$9)=H$9, G$9, 0)+IF(_xlfn.BITAND(M62,H$10)=H$10, G$10, 0)+IF(_xlfn.BITAND(M62,H$11)=H$11, G$11, 0))</f>
        <v>1.65</v>
      </c>
      <c r="P62" s="3" t="n">
        <f aca="false">(G$12/120*L62)</f>
        <v>1.648388671875</v>
      </c>
      <c r="Q62" s="3" t="n">
        <f aca="false">O62*D$3</f>
        <v>5.00488758553275</v>
      </c>
      <c r="R62" s="3" t="n">
        <f aca="false">(1/12)*L62</f>
        <v>5</v>
      </c>
      <c r="S62" s="4" t="n">
        <f aca="false">1/(Q62/R62)</f>
        <v>0.9990234375</v>
      </c>
    </row>
    <row r="63" customFormat="false" ht="12.8" hidden="false" customHeight="false" outlineLevel="0" collapsed="false">
      <c r="L63" s="0" t="n">
        <v>59</v>
      </c>
      <c r="M63" s="0" t="n">
        <f aca="false">ROUND((1023/120)*L63,0)</f>
        <v>503</v>
      </c>
      <c r="N63" s="2" t="n">
        <v>111110111</v>
      </c>
      <c r="O63" s="3" t="n">
        <f aca="false">(IF(_xlfn.BITAND(M63,H$2)=H$2, G$2, 0)+IF(_xlfn.BITAND(M63,H$3)=H$3, G$3, 0)+IF(_xlfn.BITAND(M63,H$4)=H$4, G$4, 0)+IF(_xlfn.BITAND(M63,H$5)=H$5, G$5, 0)+IF(_xlfn.BITAND(M63,H$6)=H$6, G$6, 0)+IF(_xlfn.BITAND(M63,H$7)=H$7, G$7, 0)+IF(_xlfn.BITAND(M63,H$8)=H$8, G$8, 0)+IF(_xlfn.BITAND(M63,H$9)=H$9, G$9, 0)+IF(_xlfn.BITAND(M63,H$10)=H$10, G$10, 0)+IF(_xlfn.BITAND(M63,H$11)=H$11, G$11, 0))</f>
        <v>1.6177734375</v>
      </c>
      <c r="P63" s="3" t="n">
        <f aca="false">(G$12/120*L63)</f>
        <v>1.62091552734375</v>
      </c>
      <c r="Q63" s="3" t="n">
        <f aca="false">O63*D$3</f>
        <v>4.90713587487781</v>
      </c>
      <c r="R63" s="3" t="n">
        <f aca="false">(1/12)*L63</f>
        <v>4.91666666666667</v>
      </c>
      <c r="S63" s="4" t="n">
        <f aca="false">1/(Q63/R63)</f>
        <v>1.0019422310757</v>
      </c>
    </row>
    <row r="64" customFormat="false" ht="12.8" hidden="false" customHeight="false" outlineLevel="0" collapsed="false">
      <c r="L64" s="0" t="n">
        <v>58</v>
      </c>
      <c r="M64" s="0" t="n">
        <f aca="false">ROUND((1023/120)*L64,0)</f>
        <v>494</v>
      </c>
      <c r="N64" s="2" t="n">
        <v>111101110</v>
      </c>
      <c r="O64" s="3" t="n">
        <f aca="false">(IF(_xlfn.BITAND(M64,H$2)=H$2, G$2, 0)+IF(_xlfn.BITAND(M64,H$3)=H$3, G$3, 0)+IF(_xlfn.BITAND(M64,H$4)=H$4, G$4, 0)+IF(_xlfn.BITAND(M64,H$5)=H$5, G$5, 0)+IF(_xlfn.BITAND(M64,H$6)=H$6, G$6, 0)+IF(_xlfn.BITAND(M64,H$7)=H$7, G$7, 0)+IF(_xlfn.BITAND(M64,H$8)=H$8, G$8, 0)+IF(_xlfn.BITAND(M64,H$9)=H$9, G$9, 0)+IF(_xlfn.BITAND(M64,H$10)=H$10, G$10, 0)+IF(_xlfn.BITAND(M64,H$11)=H$11, G$11, 0))</f>
        <v>1.5919921875</v>
      </c>
      <c r="P64" s="3" t="n">
        <f aca="false">(G$12/120*L64)</f>
        <v>1.5934423828125</v>
      </c>
      <c r="Q64" s="3" t="n">
        <f aca="false">O64*D$3</f>
        <v>4.82893450635386</v>
      </c>
      <c r="R64" s="3" t="n">
        <f aca="false">(1/12)*L64</f>
        <v>4.83333333333333</v>
      </c>
      <c r="S64" s="4" t="n">
        <f aca="false">1/(Q64/R64)</f>
        <v>1.00091093117409</v>
      </c>
    </row>
    <row r="65" customFormat="false" ht="12.8" hidden="false" customHeight="false" outlineLevel="0" collapsed="false">
      <c r="L65" s="0" t="n">
        <v>57</v>
      </c>
      <c r="M65" s="0" t="n">
        <f aca="false">ROUND((1023/120)*L65,0)</f>
        <v>486</v>
      </c>
      <c r="N65" s="2" t="n">
        <v>111100110</v>
      </c>
      <c r="O65" s="3" t="n">
        <f aca="false">(IF(_xlfn.BITAND(M65,H$2)=H$2, G$2, 0)+IF(_xlfn.BITAND(M65,H$3)=H$3, G$3, 0)+IF(_xlfn.BITAND(M65,H$4)=H$4, G$4, 0)+IF(_xlfn.BITAND(M65,H$5)=H$5, G$5, 0)+IF(_xlfn.BITAND(M65,H$6)=H$6, G$6, 0)+IF(_xlfn.BITAND(M65,H$7)=H$7, G$7, 0)+IF(_xlfn.BITAND(M65,H$8)=H$8, G$8, 0)+IF(_xlfn.BITAND(M65,H$9)=H$9, G$9, 0)+IF(_xlfn.BITAND(M65,H$10)=H$10, G$10, 0)+IF(_xlfn.BITAND(M65,H$11)=H$11, G$11, 0))</f>
        <v>1.5662109375</v>
      </c>
      <c r="P65" s="3" t="n">
        <f aca="false">(G$12/120*L65)</f>
        <v>1.56596923828125</v>
      </c>
      <c r="Q65" s="3" t="n">
        <f aca="false">O65*D$3</f>
        <v>4.75073313782991</v>
      </c>
      <c r="R65" s="3" t="n">
        <f aca="false">(1/12)*L65</f>
        <v>4.75</v>
      </c>
      <c r="S65" s="4" t="n">
        <f aca="false">1/(Q65/R65)</f>
        <v>0.999845679012346</v>
      </c>
    </row>
    <row r="66" customFormat="false" ht="12.8" hidden="false" customHeight="false" outlineLevel="0" collapsed="false">
      <c r="L66" s="0" t="n">
        <v>56</v>
      </c>
      <c r="M66" s="0" t="n">
        <f aca="false">ROUND((1023/120)*L66,0)</f>
        <v>477</v>
      </c>
      <c r="N66" s="2" t="n">
        <v>111011101</v>
      </c>
      <c r="O66" s="3" t="n">
        <f aca="false">(IF(_xlfn.BITAND(M66,H$2)=H$2, G$2, 0)+IF(_xlfn.BITAND(M66,H$3)=H$3, G$3, 0)+IF(_xlfn.BITAND(M66,H$4)=H$4, G$4, 0)+IF(_xlfn.BITAND(M66,H$5)=H$5, G$5, 0)+IF(_xlfn.BITAND(M66,H$6)=H$6, G$6, 0)+IF(_xlfn.BITAND(M66,H$7)=H$7, G$7, 0)+IF(_xlfn.BITAND(M66,H$8)=H$8, G$8, 0)+IF(_xlfn.BITAND(M66,H$9)=H$9, G$9, 0)+IF(_xlfn.BITAND(M66,H$10)=H$10, G$10, 0)+IF(_xlfn.BITAND(M66,H$11)=H$11, G$11, 0))</f>
        <v>1.533984375</v>
      </c>
      <c r="P66" s="3" t="n">
        <f aca="false">(G$12/120*L66)</f>
        <v>1.53849609375</v>
      </c>
      <c r="Q66" s="3" t="n">
        <f aca="false">O66*D$3</f>
        <v>4.65298142717498</v>
      </c>
      <c r="R66" s="3" t="n">
        <f aca="false">(1/12)*L66</f>
        <v>4.66666666666667</v>
      </c>
      <c r="S66" s="4" t="n">
        <f aca="false">1/(Q66/R66)</f>
        <v>1.00294117647059</v>
      </c>
    </row>
    <row r="67" customFormat="false" ht="12.8" hidden="false" customHeight="false" outlineLevel="0" collapsed="false">
      <c r="L67" s="0" t="n">
        <v>55</v>
      </c>
      <c r="M67" s="0" t="n">
        <f aca="false">ROUND((1023/120)*L67,0)</f>
        <v>469</v>
      </c>
      <c r="N67" s="2" t="n">
        <v>111010101</v>
      </c>
      <c r="O67" s="3" t="n">
        <f aca="false">(IF(_xlfn.BITAND(M67,H$2)=H$2, G$2, 0)+IF(_xlfn.BITAND(M67,H$3)=H$3, G$3, 0)+IF(_xlfn.BITAND(M67,H$4)=H$4, G$4, 0)+IF(_xlfn.BITAND(M67,H$5)=H$5, G$5, 0)+IF(_xlfn.BITAND(M67,H$6)=H$6, G$6, 0)+IF(_xlfn.BITAND(M67,H$7)=H$7, G$7, 0)+IF(_xlfn.BITAND(M67,H$8)=H$8, G$8, 0)+IF(_xlfn.BITAND(M67,H$9)=H$9, G$9, 0)+IF(_xlfn.BITAND(M67,H$10)=H$10, G$10, 0)+IF(_xlfn.BITAND(M67,H$11)=H$11, G$11, 0))</f>
        <v>1.508203125</v>
      </c>
      <c r="P67" s="3" t="n">
        <f aca="false">(G$12/120*L67)</f>
        <v>1.51102294921875</v>
      </c>
      <c r="Q67" s="3" t="n">
        <f aca="false">O67*D$3</f>
        <v>4.57478005865103</v>
      </c>
      <c r="R67" s="3" t="n">
        <f aca="false">(1/12)*L67</f>
        <v>4.58333333333333</v>
      </c>
      <c r="S67" s="4" t="n">
        <f aca="false">1/(Q67/R67)</f>
        <v>1.00186965811966</v>
      </c>
    </row>
    <row r="68" customFormat="false" ht="12.8" hidden="false" customHeight="false" outlineLevel="0" collapsed="false">
      <c r="L68" s="0" t="n">
        <v>54</v>
      </c>
      <c r="M68" s="0" t="n">
        <f aca="false">ROUND((1023/120)*L68,0)</f>
        <v>460</v>
      </c>
      <c r="N68" s="2" t="n">
        <v>111001100</v>
      </c>
      <c r="O68" s="3" t="n">
        <f aca="false">(IF(_xlfn.BITAND(M68,H$2)=H$2, G$2, 0)+IF(_xlfn.BITAND(M68,H$3)=H$3, G$3, 0)+IF(_xlfn.BITAND(M68,H$4)=H$4, G$4, 0)+IF(_xlfn.BITAND(M68,H$5)=H$5, G$5, 0)+IF(_xlfn.BITAND(M68,H$6)=H$6, G$6, 0)+IF(_xlfn.BITAND(M68,H$7)=H$7, G$7, 0)+IF(_xlfn.BITAND(M68,H$8)=H$8, G$8, 0)+IF(_xlfn.BITAND(M68,H$9)=H$9, G$9, 0)+IF(_xlfn.BITAND(M68,H$10)=H$10, G$10, 0)+IF(_xlfn.BITAND(M68,H$11)=H$11, G$11, 0))</f>
        <v>1.482421875</v>
      </c>
      <c r="P68" s="3" t="n">
        <f aca="false">(G$12/120*L68)</f>
        <v>1.4835498046875</v>
      </c>
      <c r="Q68" s="3" t="n">
        <f aca="false">O68*D$3</f>
        <v>4.49657869012708</v>
      </c>
      <c r="R68" s="3" t="n">
        <f aca="false">(1/12)*L68</f>
        <v>4.5</v>
      </c>
      <c r="S68" s="4" t="n">
        <f aca="false">1/(Q68/R68)</f>
        <v>1.00076086956522</v>
      </c>
    </row>
    <row r="69" customFormat="false" ht="12.8" hidden="false" customHeight="false" outlineLevel="0" collapsed="false">
      <c r="L69" s="0" t="n">
        <v>53</v>
      </c>
      <c r="M69" s="0" t="n">
        <f aca="false">ROUND((1023/120)*L69,0)</f>
        <v>452</v>
      </c>
      <c r="N69" s="2" t="n">
        <v>111000100</v>
      </c>
      <c r="O69" s="3" t="n">
        <f aca="false">(IF(_xlfn.BITAND(M69,H$2)=H$2, G$2, 0)+IF(_xlfn.BITAND(M69,H$3)=H$3, G$3, 0)+IF(_xlfn.BITAND(M69,H$4)=H$4, G$4, 0)+IF(_xlfn.BITAND(M69,H$5)=H$5, G$5, 0)+IF(_xlfn.BITAND(M69,H$6)=H$6, G$6, 0)+IF(_xlfn.BITAND(M69,H$7)=H$7, G$7, 0)+IF(_xlfn.BITAND(M69,H$8)=H$8, G$8, 0)+IF(_xlfn.BITAND(M69,H$9)=H$9, G$9, 0)+IF(_xlfn.BITAND(M69,H$10)=H$10, G$10, 0)+IF(_xlfn.BITAND(M69,H$11)=H$11, G$11, 0))</f>
        <v>1.456640625</v>
      </c>
      <c r="P69" s="3" t="n">
        <f aca="false">(G$12/120*L69)</f>
        <v>1.45607666015625</v>
      </c>
      <c r="Q69" s="3" t="n">
        <f aca="false">O69*D$3</f>
        <v>4.41837732160313</v>
      </c>
      <c r="R69" s="3" t="n">
        <f aca="false">(1/12)*L69</f>
        <v>4.41666666666667</v>
      </c>
      <c r="S69" s="4" t="n">
        <f aca="false">1/(Q69/R69)</f>
        <v>0.999612831858407</v>
      </c>
    </row>
    <row r="70" customFormat="false" ht="12.8" hidden="false" customHeight="false" outlineLevel="0" collapsed="false">
      <c r="L70" s="0" t="n">
        <v>52</v>
      </c>
      <c r="M70" s="0" t="n">
        <f aca="false">ROUND((1023/120)*L70,0)</f>
        <v>443</v>
      </c>
      <c r="N70" s="2" t="n">
        <v>110111011</v>
      </c>
      <c r="O70" s="3" t="n">
        <f aca="false">(IF(_xlfn.BITAND(M70,H$2)=H$2, G$2, 0)+IF(_xlfn.BITAND(M70,H$3)=H$3, G$3, 0)+IF(_xlfn.BITAND(M70,H$4)=H$4, G$4, 0)+IF(_xlfn.BITAND(M70,H$5)=H$5, G$5, 0)+IF(_xlfn.BITAND(M70,H$6)=H$6, G$6, 0)+IF(_xlfn.BITAND(M70,H$7)=H$7, G$7, 0)+IF(_xlfn.BITAND(M70,H$8)=H$8, G$8, 0)+IF(_xlfn.BITAND(M70,H$9)=H$9, G$9, 0)+IF(_xlfn.BITAND(M70,H$10)=H$10, G$10, 0)+IF(_xlfn.BITAND(M70,H$11)=H$11, G$11, 0))</f>
        <v>1.4244140625</v>
      </c>
      <c r="P70" s="3" t="n">
        <f aca="false">(G$12/120*L70)</f>
        <v>1.428603515625</v>
      </c>
      <c r="Q70" s="3" t="n">
        <f aca="false">O70*D$3</f>
        <v>4.32062561094819</v>
      </c>
      <c r="R70" s="3" t="n">
        <f aca="false">(1/12)*L70</f>
        <v>4.33333333333333</v>
      </c>
      <c r="S70" s="4" t="n">
        <f aca="false">1/(Q70/R70)</f>
        <v>1.00294117647059</v>
      </c>
    </row>
    <row r="71" customFormat="false" ht="12.8" hidden="false" customHeight="false" outlineLevel="0" collapsed="false">
      <c r="L71" s="0" t="n">
        <v>51</v>
      </c>
      <c r="M71" s="0" t="n">
        <f aca="false">ROUND((1023/120)*L71,0)</f>
        <v>435</v>
      </c>
      <c r="N71" s="2" t="n">
        <v>110110011</v>
      </c>
      <c r="O71" s="3" t="n">
        <f aca="false">(IF(_xlfn.BITAND(M71,H$2)=H$2, G$2, 0)+IF(_xlfn.BITAND(M71,H$3)=H$3, G$3, 0)+IF(_xlfn.BITAND(M71,H$4)=H$4, G$4, 0)+IF(_xlfn.BITAND(M71,H$5)=H$5, G$5, 0)+IF(_xlfn.BITAND(M71,H$6)=H$6, G$6, 0)+IF(_xlfn.BITAND(M71,H$7)=H$7, G$7, 0)+IF(_xlfn.BITAND(M71,H$8)=H$8, G$8, 0)+IF(_xlfn.BITAND(M71,H$9)=H$9, G$9, 0)+IF(_xlfn.BITAND(M71,H$10)=H$10, G$10, 0)+IF(_xlfn.BITAND(M71,H$11)=H$11, G$11, 0))</f>
        <v>1.3986328125</v>
      </c>
      <c r="P71" s="3" t="n">
        <f aca="false">(G$12/120*L71)</f>
        <v>1.40113037109375</v>
      </c>
      <c r="Q71" s="3" t="n">
        <f aca="false">O71*D$3</f>
        <v>4.24242424242424</v>
      </c>
      <c r="R71" s="3" t="n">
        <f aca="false">(1/12)*L71</f>
        <v>4.25</v>
      </c>
      <c r="S71" s="4" t="n">
        <f aca="false">1/(Q71/R71)</f>
        <v>1.00178571428571</v>
      </c>
    </row>
    <row r="72" customFormat="false" ht="12.8" hidden="false" customHeight="false" outlineLevel="0" collapsed="false">
      <c r="L72" s="0" t="n">
        <v>50</v>
      </c>
      <c r="M72" s="0" t="n">
        <f aca="false">ROUND((1023/120)*L72,0)</f>
        <v>426</v>
      </c>
      <c r="N72" s="2" t="n">
        <v>110101010</v>
      </c>
      <c r="O72" s="3" t="n">
        <f aca="false">(IF(_xlfn.BITAND(M72,H$2)=H$2, G$2, 0)+IF(_xlfn.BITAND(M72,H$3)=H$3, G$3, 0)+IF(_xlfn.BITAND(M72,H$4)=H$4, G$4, 0)+IF(_xlfn.BITAND(M72,H$5)=H$5, G$5, 0)+IF(_xlfn.BITAND(M72,H$6)=H$6, G$6, 0)+IF(_xlfn.BITAND(M72,H$7)=H$7, G$7, 0)+IF(_xlfn.BITAND(M72,H$8)=H$8, G$8, 0)+IF(_xlfn.BITAND(M72,H$9)=H$9, G$9, 0)+IF(_xlfn.BITAND(M72,H$10)=H$10, G$10, 0)+IF(_xlfn.BITAND(M72,H$11)=H$11, G$11, 0))</f>
        <v>1.3728515625</v>
      </c>
      <c r="P72" s="3" t="n">
        <f aca="false">(G$12/120*L72)</f>
        <v>1.3736572265625</v>
      </c>
      <c r="Q72" s="3" t="n">
        <f aca="false">O72*D$3</f>
        <v>4.16422287390029</v>
      </c>
      <c r="R72" s="3" t="n">
        <f aca="false">(1/12)*L72</f>
        <v>4.16666666666667</v>
      </c>
      <c r="S72" s="4" t="n">
        <f aca="false">1/(Q72/R72)</f>
        <v>1.00058685446009</v>
      </c>
    </row>
    <row r="73" customFormat="false" ht="12.8" hidden="false" customHeight="false" outlineLevel="0" collapsed="false">
      <c r="L73" s="0" t="n">
        <v>49</v>
      </c>
      <c r="M73" s="0" t="n">
        <f aca="false">ROUND((1023/120)*L73,0)</f>
        <v>418</v>
      </c>
      <c r="N73" s="2" t="n">
        <v>110100010</v>
      </c>
      <c r="O73" s="3" t="n">
        <f aca="false">(IF(_xlfn.BITAND(M73,H$2)=H$2, G$2, 0)+IF(_xlfn.BITAND(M73,H$3)=H$3, G$3, 0)+IF(_xlfn.BITAND(M73,H$4)=H$4, G$4, 0)+IF(_xlfn.BITAND(M73,H$5)=H$5, G$5, 0)+IF(_xlfn.BITAND(M73,H$6)=H$6, G$6, 0)+IF(_xlfn.BITAND(M73,H$7)=H$7, G$7, 0)+IF(_xlfn.BITAND(M73,H$8)=H$8, G$8, 0)+IF(_xlfn.BITAND(M73,H$9)=H$9, G$9, 0)+IF(_xlfn.BITAND(M73,H$10)=H$10, G$10, 0)+IF(_xlfn.BITAND(M73,H$11)=H$11, G$11, 0))</f>
        <v>1.3470703125</v>
      </c>
      <c r="P73" s="3" t="n">
        <f aca="false">(G$12/120*L73)</f>
        <v>1.34618408203125</v>
      </c>
      <c r="Q73" s="3" t="n">
        <f aca="false">O73*D$3</f>
        <v>4.08602150537634</v>
      </c>
      <c r="R73" s="3" t="n">
        <f aca="false">(1/12)*L73</f>
        <v>4.08333333333333</v>
      </c>
      <c r="S73" s="4" t="n">
        <f aca="false">1/(Q73/R73)</f>
        <v>0.999342105263158</v>
      </c>
    </row>
    <row r="74" customFormat="false" ht="12.8" hidden="false" customHeight="false" outlineLevel="0" collapsed="false">
      <c r="L74" s="0" t="n">
        <v>48</v>
      </c>
      <c r="M74" s="0" t="n">
        <f aca="false">ROUND((1023/120)*L74,0)</f>
        <v>409</v>
      </c>
      <c r="N74" s="2" t="n">
        <v>110011001</v>
      </c>
      <c r="O74" s="3" t="n">
        <f aca="false">(IF(_xlfn.BITAND(M74,H$2)=H$2, G$2, 0)+IF(_xlfn.BITAND(M74,H$3)=H$3, G$3, 0)+IF(_xlfn.BITAND(M74,H$4)=H$4, G$4, 0)+IF(_xlfn.BITAND(M74,H$5)=H$5, G$5, 0)+IF(_xlfn.BITAND(M74,H$6)=H$6, G$6, 0)+IF(_xlfn.BITAND(M74,H$7)=H$7, G$7, 0)+IF(_xlfn.BITAND(M74,H$8)=H$8, G$8, 0)+IF(_xlfn.BITAND(M74,H$9)=H$9, G$9, 0)+IF(_xlfn.BITAND(M74,H$10)=H$10, G$10, 0)+IF(_xlfn.BITAND(M74,H$11)=H$11, G$11, 0))</f>
        <v>1.31484375</v>
      </c>
      <c r="P74" s="3" t="n">
        <f aca="false">(G$12/120*L74)</f>
        <v>1.3187109375</v>
      </c>
      <c r="Q74" s="3" t="n">
        <f aca="false">O74*D$3</f>
        <v>3.98826979472141</v>
      </c>
      <c r="R74" s="3" t="n">
        <f aca="false">(1/12)*L74</f>
        <v>4</v>
      </c>
      <c r="S74" s="4" t="n">
        <f aca="false">1/(Q74/R74)</f>
        <v>1.00294117647059</v>
      </c>
    </row>
    <row r="75" customFormat="false" ht="12.8" hidden="false" customHeight="false" outlineLevel="0" collapsed="false">
      <c r="L75" s="0" t="n">
        <v>47</v>
      </c>
      <c r="M75" s="0" t="n">
        <f aca="false">ROUND((1023/120)*L75,0)</f>
        <v>401</v>
      </c>
      <c r="N75" s="2" t="n">
        <v>110010001</v>
      </c>
      <c r="O75" s="3" t="n">
        <f aca="false">(IF(_xlfn.BITAND(M75,H$2)=H$2, G$2, 0)+IF(_xlfn.BITAND(M75,H$3)=H$3, G$3, 0)+IF(_xlfn.BITAND(M75,H$4)=H$4, G$4, 0)+IF(_xlfn.BITAND(M75,H$5)=H$5, G$5, 0)+IF(_xlfn.BITAND(M75,H$6)=H$6, G$6, 0)+IF(_xlfn.BITAND(M75,H$7)=H$7, G$7, 0)+IF(_xlfn.BITAND(M75,H$8)=H$8, G$8, 0)+IF(_xlfn.BITAND(M75,H$9)=H$9, G$9, 0)+IF(_xlfn.BITAND(M75,H$10)=H$10, G$10, 0)+IF(_xlfn.BITAND(M75,H$11)=H$11, G$11, 0))</f>
        <v>1.2890625</v>
      </c>
      <c r="P75" s="3" t="n">
        <f aca="false">(G$12/120*L75)</f>
        <v>1.29123779296875</v>
      </c>
      <c r="Q75" s="3" t="n">
        <f aca="false">O75*D$3</f>
        <v>3.91006842619746</v>
      </c>
      <c r="R75" s="3" t="n">
        <f aca="false">(1/12)*L75</f>
        <v>3.91666666666667</v>
      </c>
      <c r="S75" s="4" t="n">
        <f aca="false">1/(Q75/R75)</f>
        <v>1.0016875</v>
      </c>
    </row>
    <row r="76" customFormat="false" ht="12.8" hidden="false" customHeight="false" outlineLevel="0" collapsed="false">
      <c r="L76" s="0" t="n">
        <v>46</v>
      </c>
      <c r="M76" s="0" t="n">
        <f aca="false">ROUND((1023/120)*L76,0)</f>
        <v>392</v>
      </c>
      <c r="N76" s="2" t="n">
        <v>110001000</v>
      </c>
      <c r="O76" s="3" t="n">
        <f aca="false">(IF(_xlfn.BITAND(M76,H$2)=H$2, G$2, 0)+IF(_xlfn.BITAND(M76,H$3)=H$3, G$3, 0)+IF(_xlfn.BITAND(M76,H$4)=H$4, G$4, 0)+IF(_xlfn.BITAND(M76,H$5)=H$5, G$5, 0)+IF(_xlfn.BITAND(M76,H$6)=H$6, G$6, 0)+IF(_xlfn.BITAND(M76,H$7)=H$7, G$7, 0)+IF(_xlfn.BITAND(M76,H$8)=H$8, G$8, 0)+IF(_xlfn.BITAND(M76,H$9)=H$9, G$9, 0)+IF(_xlfn.BITAND(M76,H$10)=H$10, G$10, 0)+IF(_xlfn.BITAND(M76,H$11)=H$11, G$11, 0))</f>
        <v>1.26328125</v>
      </c>
      <c r="P76" s="3" t="n">
        <f aca="false">(G$12/120*L76)</f>
        <v>1.2637646484375</v>
      </c>
      <c r="Q76" s="3" t="n">
        <f aca="false">O76*D$3</f>
        <v>3.83186705767351</v>
      </c>
      <c r="R76" s="3" t="n">
        <f aca="false">(1/12)*L76</f>
        <v>3.83333333333333</v>
      </c>
      <c r="S76" s="4" t="n">
        <f aca="false">1/(Q76/R76)</f>
        <v>1.00038265306122</v>
      </c>
    </row>
    <row r="77" customFormat="false" ht="12.8" hidden="false" customHeight="false" outlineLevel="0" collapsed="false">
      <c r="L77" s="0" t="n">
        <v>45</v>
      </c>
      <c r="M77" s="0" t="n">
        <f aca="false">ROUND((1023/120)*L77,0)</f>
        <v>384</v>
      </c>
      <c r="N77" s="2" t="n">
        <v>110000000</v>
      </c>
      <c r="O77" s="3" t="n">
        <f aca="false">(IF(_xlfn.BITAND(M77,H$2)=H$2, G$2, 0)+IF(_xlfn.BITAND(M77,H$3)=H$3, G$3, 0)+IF(_xlfn.BITAND(M77,H$4)=H$4, G$4, 0)+IF(_xlfn.BITAND(M77,H$5)=H$5, G$5, 0)+IF(_xlfn.BITAND(M77,H$6)=H$6, G$6, 0)+IF(_xlfn.BITAND(M77,H$7)=H$7, G$7, 0)+IF(_xlfn.BITAND(M77,H$8)=H$8, G$8, 0)+IF(_xlfn.BITAND(M77,H$9)=H$9, G$9, 0)+IF(_xlfn.BITAND(M77,H$10)=H$10, G$10, 0)+IF(_xlfn.BITAND(M77,H$11)=H$11, G$11, 0))</f>
        <v>1.2375</v>
      </c>
      <c r="P77" s="3" t="n">
        <f aca="false">(G$12/120*L77)</f>
        <v>1.23629150390625</v>
      </c>
      <c r="Q77" s="3" t="n">
        <f aca="false">O77*D$3</f>
        <v>3.75366568914956</v>
      </c>
      <c r="R77" s="3" t="n">
        <f aca="false">(1/12)*L77</f>
        <v>3.75</v>
      </c>
      <c r="S77" s="4" t="n">
        <f aca="false">1/(Q77/R77)</f>
        <v>0.9990234375</v>
      </c>
    </row>
    <row r="78" customFormat="false" ht="12.8" hidden="false" customHeight="false" outlineLevel="0" collapsed="false">
      <c r="L78" s="0" t="n">
        <v>44</v>
      </c>
      <c r="M78" s="0" t="n">
        <f aca="false">ROUND((1023/120)*L78,0)</f>
        <v>375</v>
      </c>
      <c r="N78" s="2" t="n">
        <v>101110111</v>
      </c>
      <c r="O78" s="3" t="n">
        <f aca="false">(IF(_xlfn.BITAND(M78,H$2)=H$2, G$2, 0)+IF(_xlfn.BITAND(M78,H$3)=H$3, G$3, 0)+IF(_xlfn.BITAND(M78,H$4)=H$4, G$4, 0)+IF(_xlfn.BITAND(M78,H$5)=H$5, G$5, 0)+IF(_xlfn.BITAND(M78,H$6)=H$6, G$6, 0)+IF(_xlfn.BITAND(M78,H$7)=H$7, G$7, 0)+IF(_xlfn.BITAND(M78,H$8)=H$8, G$8, 0)+IF(_xlfn.BITAND(M78,H$9)=H$9, G$9, 0)+IF(_xlfn.BITAND(M78,H$10)=H$10, G$10, 0)+IF(_xlfn.BITAND(M78,H$11)=H$11, G$11, 0))</f>
        <v>1.2052734375</v>
      </c>
      <c r="P78" s="3" t="n">
        <f aca="false">(G$12/120*L78)</f>
        <v>1.208818359375</v>
      </c>
      <c r="Q78" s="3" t="n">
        <f aca="false">O78*D$3</f>
        <v>3.65591397849462</v>
      </c>
      <c r="R78" s="3" t="n">
        <f aca="false">(1/12)*L78</f>
        <v>3.66666666666667</v>
      </c>
      <c r="S78" s="4" t="n">
        <f aca="false">1/(Q78/R78)</f>
        <v>1.00294117647059</v>
      </c>
    </row>
    <row r="79" customFormat="false" ht="12.8" hidden="false" customHeight="false" outlineLevel="0" collapsed="false">
      <c r="L79" s="0" t="n">
        <v>43</v>
      </c>
      <c r="M79" s="0" t="n">
        <f aca="false">ROUND((1023/120)*L79,0)</f>
        <v>367</v>
      </c>
      <c r="N79" s="2" t="n">
        <v>101101111</v>
      </c>
      <c r="O79" s="3" t="n">
        <f aca="false">(IF(_xlfn.BITAND(M79,H$2)=H$2, G$2, 0)+IF(_xlfn.BITAND(M79,H$3)=H$3, G$3, 0)+IF(_xlfn.BITAND(M79,H$4)=H$4, G$4, 0)+IF(_xlfn.BITAND(M79,H$5)=H$5, G$5, 0)+IF(_xlfn.BITAND(M79,H$6)=H$6, G$6, 0)+IF(_xlfn.BITAND(M79,H$7)=H$7, G$7, 0)+IF(_xlfn.BITAND(M79,H$8)=H$8, G$8, 0)+IF(_xlfn.BITAND(M79,H$9)=H$9, G$9, 0)+IF(_xlfn.BITAND(M79,H$10)=H$10, G$10, 0)+IF(_xlfn.BITAND(M79,H$11)=H$11, G$11, 0))</f>
        <v>1.1794921875</v>
      </c>
      <c r="P79" s="3" t="n">
        <f aca="false">(G$12/120*L79)</f>
        <v>1.18134521484375</v>
      </c>
      <c r="Q79" s="3" t="n">
        <f aca="false">O79*D$3</f>
        <v>3.57771260997067</v>
      </c>
      <c r="R79" s="3" t="n">
        <f aca="false">(1/12)*L79</f>
        <v>3.58333333333333</v>
      </c>
      <c r="S79" s="4" t="n">
        <f aca="false">1/(Q79/R79)</f>
        <v>1.00157103825137</v>
      </c>
    </row>
    <row r="80" customFormat="false" ht="12.8" hidden="false" customHeight="false" outlineLevel="0" collapsed="false">
      <c r="L80" s="0" t="n">
        <v>42</v>
      </c>
      <c r="M80" s="0" t="n">
        <f aca="false">ROUND((1023/120)*L80,0)</f>
        <v>358</v>
      </c>
      <c r="N80" s="2" t="n">
        <v>101100110</v>
      </c>
      <c r="O80" s="3" t="n">
        <f aca="false">(IF(_xlfn.BITAND(M80,H$2)=H$2, G$2, 0)+IF(_xlfn.BITAND(M80,H$3)=H$3, G$3, 0)+IF(_xlfn.BITAND(M80,H$4)=H$4, G$4, 0)+IF(_xlfn.BITAND(M80,H$5)=H$5, G$5, 0)+IF(_xlfn.BITAND(M80,H$6)=H$6, G$6, 0)+IF(_xlfn.BITAND(M80,H$7)=H$7, G$7, 0)+IF(_xlfn.BITAND(M80,H$8)=H$8, G$8, 0)+IF(_xlfn.BITAND(M80,H$9)=H$9, G$9, 0)+IF(_xlfn.BITAND(M80,H$10)=H$10, G$10, 0)+IF(_xlfn.BITAND(M80,H$11)=H$11, G$11, 0))</f>
        <v>1.1537109375</v>
      </c>
      <c r="P80" s="3" t="n">
        <f aca="false">(G$12/120*L80)</f>
        <v>1.1538720703125</v>
      </c>
      <c r="Q80" s="3" t="n">
        <f aca="false">O80*D$3</f>
        <v>3.49951124144673</v>
      </c>
      <c r="R80" s="3" t="n">
        <f aca="false">(1/12)*L80</f>
        <v>3.5</v>
      </c>
      <c r="S80" s="4" t="n">
        <f aca="false">1/(Q80/R80)</f>
        <v>1.00013966480447</v>
      </c>
    </row>
    <row r="81" customFormat="false" ht="12.8" hidden="false" customHeight="false" outlineLevel="0" collapsed="false">
      <c r="L81" s="0" t="n">
        <v>41</v>
      </c>
      <c r="M81" s="0" t="n">
        <f aca="false">ROUND((1023/120)*L81,0)</f>
        <v>350</v>
      </c>
      <c r="N81" s="2" t="n">
        <v>101011110</v>
      </c>
      <c r="O81" s="3" t="n">
        <f aca="false">(IF(_xlfn.BITAND(M81,H$2)=H$2, G$2, 0)+IF(_xlfn.BITAND(M81,H$3)=H$3, G$3, 0)+IF(_xlfn.BITAND(M81,H$4)=H$4, G$4, 0)+IF(_xlfn.BITAND(M81,H$5)=H$5, G$5, 0)+IF(_xlfn.BITAND(M81,H$6)=H$6, G$6, 0)+IF(_xlfn.BITAND(M81,H$7)=H$7, G$7, 0)+IF(_xlfn.BITAND(M81,H$8)=H$8, G$8, 0)+IF(_xlfn.BITAND(M81,H$9)=H$9, G$9, 0)+IF(_xlfn.BITAND(M81,H$10)=H$10, G$10, 0)+IF(_xlfn.BITAND(M81,H$11)=H$11, G$11, 0))</f>
        <v>1.1279296875</v>
      </c>
      <c r="P81" s="3" t="n">
        <f aca="false">(G$12/120*L81)</f>
        <v>1.12639892578125</v>
      </c>
      <c r="Q81" s="3" t="n">
        <f aca="false">O81*D$3</f>
        <v>3.42130987292278</v>
      </c>
      <c r="R81" s="3" t="n">
        <f aca="false">(1/12)*L81</f>
        <v>3.41666666666667</v>
      </c>
      <c r="S81" s="4" t="n">
        <f aca="false">1/(Q81/R81)</f>
        <v>0.998642857142857</v>
      </c>
    </row>
    <row r="82" customFormat="false" ht="12.8" hidden="false" customHeight="false" outlineLevel="0" collapsed="false">
      <c r="L82" s="0" t="n">
        <v>40</v>
      </c>
      <c r="M82" s="0" t="n">
        <f aca="false">ROUND((1023/120)*L82,0)</f>
        <v>341</v>
      </c>
      <c r="N82" s="2" t="n">
        <v>101010101</v>
      </c>
      <c r="O82" s="3" t="n">
        <f aca="false">(IF(_xlfn.BITAND(M82,H$2)=H$2, G$2, 0)+IF(_xlfn.BITAND(M82,H$3)=H$3, G$3, 0)+IF(_xlfn.BITAND(M82,H$4)=H$4, G$4, 0)+IF(_xlfn.BITAND(M82,H$5)=H$5, G$5, 0)+IF(_xlfn.BITAND(M82,H$6)=H$6, G$6, 0)+IF(_xlfn.BITAND(M82,H$7)=H$7, G$7, 0)+IF(_xlfn.BITAND(M82,H$8)=H$8, G$8, 0)+IF(_xlfn.BITAND(M82,H$9)=H$9, G$9, 0)+IF(_xlfn.BITAND(M82,H$10)=H$10, G$10, 0)+IF(_xlfn.BITAND(M82,H$11)=H$11, G$11, 0))</f>
        <v>1.095703125</v>
      </c>
      <c r="P82" s="3" t="n">
        <f aca="false">(G$12/120*L82)</f>
        <v>1.09892578125</v>
      </c>
      <c r="Q82" s="3" t="n">
        <f aca="false">O82*D$3</f>
        <v>3.32355816226784</v>
      </c>
      <c r="R82" s="3" t="n">
        <f aca="false">(1/12)*L82</f>
        <v>3.33333333333333</v>
      </c>
      <c r="S82" s="4" t="n">
        <f aca="false">1/(Q82/R82)</f>
        <v>1.00294117647059</v>
      </c>
    </row>
    <row r="83" customFormat="false" ht="12.8" hidden="false" customHeight="false" outlineLevel="0" collapsed="false">
      <c r="L83" s="0" t="n">
        <v>39</v>
      </c>
      <c r="M83" s="0" t="n">
        <f aca="false">ROUND((1023/120)*L83,0)</f>
        <v>332</v>
      </c>
      <c r="N83" s="2" t="n">
        <v>101001100</v>
      </c>
      <c r="O83" s="3" t="n">
        <f aca="false">(IF(_xlfn.BITAND(M83,H$2)=H$2, G$2, 0)+IF(_xlfn.BITAND(M83,H$3)=H$3, G$3, 0)+IF(_xlfn.BITAND(M83,H$4)=H$4, G$4, 0)+IF(_xlfn.BITAND(M83,H$5)=H$5, G$5, 0)+IF(_xlfn.BITAND(M83,H$6)=H$6, G$6, 0)+IF(_xlfn.BITAND(M83,H$7)=H$7, G$7, 0)+IF(_xlfn.BITAND(M83,H$8)=H$8, G$8, 0)+IF(_xlfn.BITAND(M83,H$9)=H$9, G$9, 0)+IF(_xlfn.BITAND(M83,H$10)=H$10, G$10, 0)+IF(_xlfn.BITAND(M83,H$11)=H$11, G$11, 0))</f>
        <v>1.069921875</v>
      </c>
      <c r="P83" s="3" t="n">
        <f aca="false">(G$12/120*L83)</f>
        <v>1.07145263671875</v>
      </c>
      <c r="Q83" s="3" t="n">
        <f aca="false">O83*D$3</f>
        <v>3.24535679374389</v>
      </c>
      <c r="R83" s="3" t="n">
        <f aca="false">(1/12)*L83</f>
        <v>3.25</v>
      </c>
      <c r="S83" s="4" t="n">
        <f aca="false">1/(Q83/R83)</f>
        <v>1.00143072289157</v>
      </c>
    </row>
    <row r="84" customFormat="false" ht="12.8" hidden="false" customHeight="false" outlineLevel="0" collapsed="false">
      <c r="L84" s="0" t="n">
        <v>38</v>
      </c>
      <c r="M84" s="0" t="n">
        <f aca="false">ROUND((1023/120)*L84,0)</f>
        <v>324</v>
      </c>
      <c r="N84" s="2" t="n">
        <v>101000100</v>
      </c>
      <c r="O84" s="3" t="n">
        <f aca="false">(IF(_xlfn.BITAND(M84,H$2)=H$2, G$2, 0)+IF(_xlfn.BITAND(M84,H$3)=H$3, G$3, 0)+IF(_xlfn.BITAND(M84,H$4)=H$4, G$4, 0)+IF(_xlfn.BITAND(M84,H$5)=H$5, G$5, 0)+IF(_xlfn.BITAND(M84,H$6)=H$6, G$6, 0)+IF(_xlfn.BITAND(M84,H$7)=H$7, G$7, 0)+IF(_xlfn.BITAND(M84,H$8)=H$8, G$8, 0)+IF(_xlfn.BITAND(M84,H$9)=H$9, G$9, 0)+IF(_xlfn.BITAND(M84,H$10)=H$10, G$10, 0)+IF(_xlfn.BITAND(M84,H$11)=H$11, G$11, 0))</f>
        <v>1.044140625</v>
      </c>
      <c r="P84" s="3" t="n">
        <f aca="false">(G$12/120*L84)</f>
        <v>1.0439794921875</v>
      </c>
      <c r="Q84" s="3" t="n">
        <f aca="false">O84*D$3</f>
        <v>3.16715542521994</v>
      </c>
      <c r="R84" s="3" t="n">
        <f aca="false">(1/12)*L84</f>
        <v>3.16666666666667</v>
      </c>
      <c r="S84" s="4" t="n">
        <f aca="false">1/(Q84/R84)</f>
        <v>0.999845679012346</v>
      </c>
    </row>
    <row r="85" customFormat="false" ht="12.8" hidden="false" customHeight="false" outlineLevel="0" collapsed="false">
      <c r="L85" s="0" t="n">
        <v>37</v>
      </c>
      <c r="M85" s="0" t="n">
        <f aca="false">ROUND((1023/120)*L85,0)</f>
        <v>315</v>
      </c>
      <c r="N85" s="2" t="n">
        <v>100111011</v>
      </c>
      <c r="O85" s="3" t="n">
        <f aca="false">(IF(_xlfn.BITAND(M85,H$2)=H$2, G$2, 0)+IF(_xlfn.BITAND(M85,H$3)=H$3, G$3, 0)+IF(_xlfn.BITAND(M85,H$4)=H$4, G$4, 0)+IF(_xlfn.BITAND(M85,H$5)=H$5, G$5, 0)+IF(_xlfn.BITAND(M85,H$6)=H$6, G$6, 0)+IF(_xlfn.BITAND(M85,H$7)=H$7, G$7, 0)+IF(_xlfn.BITAND(M85,H$8)=H$8, G$8, 0)+IF(_xlfn.BITAND(M85,H$9)=H$9, G$9, 0)+IF(_xlfn.BITAND(M85,H$10)=H$10, G$10, 0)+IF(_xlfn.BITAND(M85,H$11)=H$11, G$11, 0))</f>
        <v>1.0119140625</v>
      </c>
      <c r="P85" s="3" t="n">
        <f aca="false">(G$12/120*L85)</f>
        <v>1.01650634765625</v>
      </c>
      <c r="Q85" s="3" t="n">
        <f aca="false">O85*D$3</f>
        <v>3.069403714565</v>
      </c>
      <c r="R85" s="3" t="n">
        <f aca="false">(1/12)*L85</f>
        <v>3.08333333333333</v>
      </c>
      <c r="S85" s="4" t="n">
        <f aca="false">1/(Q85/R85)</f>
        <v>1.00453821656051</v>
      </c>
    </row>
    <row r="86" customFormat="false" ht="12.8" hidden="false" customHeight="false" outlineLevel="0" collapsed="false">
      <c r="L86" s="0" t="n">
        <v>36</v>
      </c>
      <c r="M86" s="0" t="n">
        <f aca="false">ROUND((1023/120)*L86,0)</f>
        <v>307</v>
      </c>
      <c r="N86" s="2" t="n">
        <v>100110011</v>
      </c>
      <c r="O86" s="3" t="n">
        <f aca="false">(IF(_xlfn.BITAND(M86,H$2)=H$2, G$2, 0)+IF(_xlfn.BITAND(M86,H$3)=H$3, G$3, 0)+IF(_xlfn.BITAND(M86,H$4)=H$4, G$4, 0)+IF(_xlfn.BITAND(M86,H$5)=H$5, G$5, 0)+IF(_xlfn.BITAND(M86,H$6)=H$6, G$6, 0)+IF(_xlfn.BITAND(M86,H$7)=H$7, G$7, 0)+IF(_xlfn.BITAND(M86,H$8)=H$8, G$8, 0)+IF(_xlfn.BITAND(M86,H$9)=H$9, G$9, 0)+IF(_xlfn.BITAND(M86,H$10)=H$10, G$10, 0)+IF(_xlfn.BITAND(M86,H$11)=H$11, G$11, 0))</f>
        <v>0.9861328125</v>
      </c>
      <c r="P86" s="3" t="n">
        <f aca="false">(G$12/120*L86)</f>
        <v>0.989033203125</v>
      </c>
      <c r="Q86" s="3" t="n">
        <f aca="false">O86*D$3</f>
        <v>2.99120234604106</v>
      </c>
      <c r="R86" s="3" t="n">
        <f aca="false">(1/12)*L86</f>
        <v>3</v>
      </c>
      <c r="S86" s="4" t="n">
        <f aca="false">1/(Q86/R86)</f>
        <v>1.00294117647059</v>
      </c>
    </row>
    <row r="87" customFormat="false" ht="12.8" hidden="false" customHeight="false" outlineLevel="0" collapsed="false">
      <c r="L87" s="0" t="n">
        <v>35</v>
      </c>
      <c r="M87" s="0" t="n">
        <f aca="false">ROUND((1023/120)*L87,0)</f>
        <v>298</v>
      </c>
      <c r="N87" s="2" t="n">
        <v>100101010</v>
      </c>
      <c r="O87" s="3" t="n">
        <f aca="false">(IF(_xlfn.BITAND(M87,H$2)=H$2, G$2, 0)+IF(_xlfn.BITAND(M87,H$3)=H$3, G$3, 0)+IF(_xlfn.BITAND(M87,H$4)=H$4, G$4, 0)+IF(_xlfn.BITAND(M87,H$5)=H$5, G$5, 0)+IF(_xlfn.BITAND(M87,H$6)=H$6, G$6, 0)+IF(_xlfn.BITAND(M87,H$7)=H$7, G$7, 0)+IF(_xlfn.BITAND(M87,H$8)=H$8, G$8, 0)+IF(_xlfn.BITAND(M87,H$9)=H$9, G$9, 0)+IF(_xlfn.BITAND(M87,H$10)=H$10, G$10, 0)+IF(_xlfn.BITAND(M87,H$11)=H$11, G$11, 0))</f>
        <v>0.9603515625</v>
      </c>
      <c r="P87" s="3" t="n">
        <f aca="false">(G$12/120*L87)</f>
        <v>0.96156005859375</v>
      </c>
      <c r="Q87" s="3" t="n">
        <f aca="false">O87*D$3</f>
        <v>2.91300097751711</v>
      </c>
      <c r="R87" s="3" t="n">
        <f aca="false">(1/12)*L87</f>
        <v>2.91666666666667</v>
      </c>
      <c r="S87" s="4" t="n">
        <f aca="false">1/(Q87/R87)</f>
        <v>1.00125838926175</v>
      </c>
    </row>
    <row r="88" customFormat="false" ht="12.8" hidden="false" customHeight="false" outlineLevel="0" collapsed="false">
      <c r="L88" s="0" t="n">
        <v>34</v>
      </c>
      <c r="M88" s="0" t="n">
        <f aca="false">ROUND((1023/120)*L88,0)</f>
        <v>290</v>
      </c>
      <c r="N88" s="2" t="n">
        <v>100100010</v>
      </c>
      <c r="O88" s="3" t="n">
        <f aca="false">(IF(_xlfn.BITAND(M88,H$2)=H$2, G$2, 0)+IF(_xlfn.BITAND(M88,H$3)=H$3, G$3, 0)+IF(_xlfn.BITAND(M88,H$4)=H$4, G$4, 0)+IF(_xlfn.BITAND(M88,H$5)=H$5, G$5, 0)+IF(_xlfn.BITAND(M88,H$6)=H$6, G$6, 0)+IF(_xlfn.BITAND(M88,H$7)=H$7, G$7, 0)+IF(_xlfn.BITAND(M88,H$8)=H$8, G$8, 0)+IF(_xlfn.BITAND(M88,H$9)=H$9, G$9, 0)+IF(_xlfn.BITAND(M88,H$10)=H$10, G$10, 0)+IF(_xlfn.BITAND(M88,H$11)=H$11, G$11, 0))</f>
        <v>0.9345703125</v>
      </c>
      <c r="P88" s="3" t="n">
        <f aca="false">(G$12/120*L88)</f>
        <v>0.9340869140625</v>
      </c>
      <c r="Q88" s="3" t="n">
        <f aca="false">O88*D$3</f>
        <v>2.83479960899316</v>
      </c>
      <c r="R88" s="3" t="n">
        <f aca="false">(1/12)*L88</f>
        <v>2.83333333333333</v>
      </c>
      <c r="S88" s="4" t="n">
        <f aca="false">1/(Q88/R88)</f>
        <v>0.99948275862069</v>
      </c>
    </row>
    <row r="89" customFormat="false" ht="12.8" hidden="false" customHeight="false" outlineLevel="0" collapsed="false">
      <c r="L89" s="0" t="n">
        <v>33</v>
      </c>
      <c r="M89" s="0" t="n">
        <f aca="false">ROUND((1023/120)*L89,0)</f>
        <v>281</v>
      </c>
      <c r="N89" s="2" t="n">
        <v>100011001</v>
      </c>
      <c r="O89" s="3" t="n">
        <f aca="false">(IF(_xlfn.BITAND(M89,H$2)=H$2, G$2, 0)+IF(_xlfn.BITAND(M89,H$3)=H$3, G$3, 0)+IF(_xlfn.BITAND(M89,H$4)=H$4, G$4, 0)+IF(_xlfn.BITAND(M89,H$5)=H$5, G$5, 0)+IF(_xlfn.BITAND(M89,H$6)=H$6, G$6, 0)+IF(_xlfn.BITAND(M89,H$7)=H$7, G$7, 0)+IF(_xlfn.BITAND(M89,H$8)=H$8, G$8, 0)+IF(_xlfn.BITAND(M89,H$9)=H$9, G$9, 0)+IF(_xlfn.BITAND(M89,H$10)=H$10, G$10, 0)+IF(_xlfn.BITAND(M89,H$11)=H$11, G$11, 0))</f>
        <v>0.90234375</v>
      </c>
      <c r="P89" s="3" t="n">
        <f aca="false">(G$12/120*L89)</f>
        <v>0.90661376953125</v>
      </c>
      <c r="Q89" s="3" t="n">
        <f aca="false">O89*D$3</f>
        <v>2.73704789833822</v>
      </c>
      <c r="R89" s="3" t="n">
        <f aca="false">(1/12)*L89</f>
        <v>2.75</v>
      </c>
      <c r="S89" s="4" t="n">
        <f aca="false">1/(Q89/R89)</f>
        <v>1.00473214285714</v>
      </c>
    </row>
    <row r="90" customFormat="false" ht="12.8" hidden="false" customHeight="false" outlineLevel="0" collapsed="false">
      <c r="L90" s="0" t="n">
        <v>32</v>
      </c>
      <c r="M90" s="0" t="n">
        <f aca="false">ROUND((1023/120)*L90,0)</f>
        <v>273</v>
      </c>
      <c r="N90" s="2" t="n">
        <v>100010001</v>
      </c>
      <c r="O90" s="3" t="n">
        <f aca="false">(IF(_xlfn.BITAND(M90,H$2)=H$2, G$2, 0)+IF(_xlfn.BITAND(M90,H$3)=H$3, G$3, 0)+IF(_xlfn.BITAND(M90,H$4)=H$4, G$4, 0)+IF(_xlfn.BITAND(M90,H$5)=H$5, G$5, 0)+IF(_xlfn.BITAND(M90,H$6)=H$6, G$6, 0)+IF(_xlfn.BITAND(M90,H$7)=H$7, G$7, 0)+IF(_xlfn.BITAND(M90,H$8)=H$8, G$8, 0)+IF(_xlfn.BITAND(M90,H$9)=H$9, G$9, 0)+IF(_xlfn.BITAND(M90,H$10)=H$10, G$10, 0)+IF(_xlfn.BITAND(M90,H$11)=H$11, G$11, 0))</f>
        <v>0.8765625</v>
      </c>
      <c r="P90" s="3" t="n">
        <f aca="false">(G$12/120*L90)</f>
        <v>0.879140625</v>
      </c>
      <c r="Q90" s="3" t="n">
        <f aca="false">O90*D$3</f>
        <v>2.65884652981427</v>
      </c>
      <c r="R90" s="3" t="n">
        <f aca="false">(1/12)*L90</f>
        <v>2.66666666666667</v>
      </c>
      <c r="S90" s="4" t="n">
        <f aca="false">1/(Q90/R90)</f>
        <v>1.00294117647059</v>
      </c>
    </row>
    <row r="91" customFormat="false" ht="12.8" hidden="false" customHeight="false" outlineLevel="0" collapsed="false">
      <c r="L91" s="0" t="n">
        <v>31</v>
      </c>
      <c r="M91" s="0" t="n">
        <f aca="false">ROUND((1023/120)*L91,0)</f>
        <v>264</v>
      </c>
      <c r="N91" s="2" t="n">
        <v>100001000</v>
      </c>
      <c r="O91" s="3" t="n">
        <f aca="false">(IF(_xlfn.BITAND(M91,H$2)=H$2, G$2, 0)+IF(_xlfn.BITAND(M91,H$3)=H$3, G$3, 0)+IF(_xlfn.BITAND(M91,H$4)=H$4, G$4, 0)+IF(_xlfn.BITAND(M91,H$5)=H$5, G$5, 0)+IF(_xlfn.BITAND(M91,H$6)=H$6, G$6, 0)+IF(_xlfn.BITAND(M91,H$7)=H$7, G$7, 0)+IF(_xlfn.BITAND(M91,H$8)=H$8, G$8, 0)+IF(_xlfn.BITAND(M91,H$9)=H$9, G$9, 0)+IF(_xlfn.BITAND(M91,H$10)=H$10, G$10, 0)+IF(_xlfn.BITAND(M91,H$11)=H$11, G$11, 0))</f>
        <v>0.85078125</v>
      </c>
      <c r="P91" s="3" t="n">
        <f aca="false">(G$12/120*L91)</f>
        <v>0.85166748046875</v>
      </c>
      <c r="Q91" s="3" t="n">
        <f aca="false">O91*D$3</f>
        <v>2.58064516129032</v>
      </c>
      <c r="R91" s="3" t="n">
        <f aca="false">(1/12)*L91</f>
        <v>2.58333333333333</v>
      </c>
      <c r="S91" s="4" t="n">
        <f aca="false">1/(Q91/R91)</f>
        <v>1.00104166666667</v>
      </c>
    </row>
    <row r="92" customFormat="false" ht="12.8" hidden="false" customHeight="false" outlineLevel="0" collapsed="false">
      <c r="L92" s="0" t="n">
        <v>30</v>
      </c>
      <c r="M92" s="0" t="n">
        <f aca="false">ROUND((1023/120)*L92,0)</f>
        <v>256</v>
      </c>
      <c r="N92" s="2" t="n">
        <v>100000000</v>
      </c>
      <c r="O92" s="3" t="n">
        <f aca="false">(IF(_xlfn.BITAND(M92,H$2)=H$2, G$2, 0)+IF(_xlfn.BITAND(M92,H$3)=H$3, G$3, 0)+IF(_xlfn.BITAND(M92,H$4)=H$4, G$4, 0)+IF(_xlfn.BITAND(M92,H$5)=H$5, G$5, 0)+IF(_xlfn.BITAND(M92,H$6)=H$6, G$6, 0)+IF(_xlfn.BITAND(M92,H$7)=H$7, G$7, 0)+IF(_xlfn.BITAND(M92,H$8)=H$8, G$8, 0)+IF(_xlfn.BITAND(M92,H$9)=H$9, G$9, 0)+IF(_xlfn.BITAND(M92,H$10)=H$10, G$10, 0)+IF(_xlfn.BITAND(M92,H$11)=H$11, G$11, 0))</f>
        <v>0.825</v>
      </c>
      <c r="P92" s="3" t="n">
        <f aca="false">(G$12/120*L92)</f>
        <v>0.8241943359375</v>
      </c>
      <c r="Q92" s="3" t="n">
        <f aca="false">O92*D$3</f>
        <v>2.50244379276637</v>
      </c>
      <c r="R92" s="3" t="n">
        <f aca="false">(1/12)*L92</f>
        <v>2.5</v>
      </c>
      <c r="S92" s="4" t="n">
        <f aca="false">1/(Q92/R92)</f>
        <v>0.9990234375</v>
      </c>
    </row>
    <row r="93" customFormat="false" ht="12.8" hidden="false" customHeight="false" outlineLevel="0" collapsed="false">
      <c r="L93" s="0" t="n">
        <v>29</v>
      </c>
      <c r="M93" s="0" t="n">
        <f aca="false">ROUND((1023/120)*L93,0)</f>
        <v>247</v>
      </c>
      <c r="N93" s="2" t="n">
        <v>11110111</v>
      </c>
      <c r="O93" s="3" t="n">
        <f aca="false">(IF(_xlfn.BITAND(M93,H$2)=H$2, G$2, 0)+IF(_xlfn.BITAND(M93,H$3)=H$3, G$3, 0)+IF(_xlfn.BITAND(M93,H$4)=H$4, G$4, 0)+IF(_xlfn.BITAND(M93,H$5)=H$5, G$5, 0)+IF(_xlfn.BITAND(M93,H$6)=H$6, G$6, 0)+IF(_xlfn.BITAND(M93,H$7)=H$7, G$7, 0)+IF(_xlfn.BITAND(M93,H$8)=H$8, G$8, 0)+IF(_xlfn.BITAND(M93,H$9)=H$9, G$9, 0)+IF(_xlfn.BITAND(M93,H$10)=H$10, G$10, 0)+IF(_xlfn.BITAND(M93,H$11)=H$11, G$11, 0))</f>
        <v>0.7927734375</v>
      </c>
      <c r="P93" s="3" t="n">
        <f aca="false">(G$12/120*L93)</f>
        <v>0.79672119140625</v>
      </c>
      <c r="Q93" s="3" t="n">
        <f aca="false">O93*D$3</f>
        <v>2.40469208211144</v>
      </c>
      <c r="R93" s="3" t="n">
        <f aca="false">(1/12)*L93</f>
        <v>2.41666666666667</v>
      </c>
      <c r="S93" s="4" t="n">
        <f aca="false">1/(Q93/R93)</f>
        <v>1.00497967479675</v>
      </c>
    </row>
    <row r="94" customFormat="false" ht="12.8" hidden="false" customHeight="false" outlineLevel="0" collapsed="false">
      <c r="L94" s="0" t="n">
        <v>28</v>
      </c>
      <c r="M94" s="0" t="n">
        <f aca="false">ROUND((1023/120)*L94,0)</f>
        <v>239</v>
      </c>
      <c r="N94" s="2" t="n">
        <v>11101111</v>
      </c>
      <c r="O94" s="3" t="n">
        <f aca="false">(IF(_xlfn.BITAND(M94,H$2)=H$2, G$2, 0)+IF(_xlfn.BITAND(M94,H$3)=H$3, G$3, 0)+IF(_xlfn.BITAND(M94,H$4)=H$4, G$4, 0)+IF(_xlfn.BITAND(M94,H$5)=H$5, G$5, 0)+IF(_xlfn.BITAND(M94,H$6)=H$6, G$6, 0)+IF(_xlfn.BITAND(M94,H$7)=H$7, G$7, 0)+IF(_xlfn.BITAND(M94,H$8)=H$8, G$8, 0)+IF(_xlfn.BITAND(M94,H$9)=H$9, G$9, 0)+IF(_xlfn.BITAND(M94,H$10)=H$10, G$10, 0)+IF(_xlfn.BITAND(M94,H$11)=H$11, G$11, 0))</f>
        <v>0.7669921875</v>
      </c>
      <c r="P94" s="3" t="n">
        <f aca="false">(G$12/120*L94)</f>
        <v>0.769248046875</v>
      </c>
      <c r="Q94" s="3" t="n">
        <f aca="false">O94*D$3</f>
        <v>2.32649071358749</v>
      </c>
      <c r="R94" s="3" t="n">
        <f aca="false">(1/12)*L94</f>
        <v>2.33333333333333</v>
      </c>
      <c r="S94" s="4" t="n">
        <f aca="false">1/(Q94/R94)</f>
        <v>1.00294117647059</v>
      </c>
    </row>
    <row r="95" customFormat="false" ht="12.8" hidden="false" customHeight="false" outlineLevel="0" collapsed="false">
      <c r="L95" s="0" t="n">
        <v>27</v>
      </c>
      <c r="M95" s="0" t="n">
        <f aca="false">ROUND((1023/120)*L95,0)</f>
        <v>230</v>
      </c>
      <c r="N95" s="2" t="n">
        <v>11100110</v>
      </c>
      <c r="O95" s="3" t="n">
        <f aca="false">(IF(_xlfn.BITAND(M95,H$2)=H$2, G$2, 0)+IF(_xlfn.BITAND(M95,H$3)=H$3, G$3, 0)+IF(_xlfn.BITAND(M95,H$4)=H$4, G$4, 0)+IF(_xlfn.BITAND(M95,H$5)=H$5, G$5, 0)+IF(_xlfn.BITAND(M95,H$6)=H$6, G$6, 0)+IF(_xlfn.BITAND(M95,H$7)=H$7, G$7, 0)+IF(_xlfn.BITAND(M95,H$8)=H$8, G$8, 0)+IF(_xlfn.BITAND(M95,H$9)=H$9, G$9, 0)+IF(_xlfn.BITAND(M95,H$10)=H$10, G$10, 0)+IF(_xlfn.BITAND(M95,H$11)=H$11, G$11, 0))</f>
        <v>0.7412109375</v>
      </c>
      <c r="P95" s="3" t="n">
        <f aca="false">(G$12/120*L95)</f>
        <v>0.74177490234375</v>
      </c>
      <c r="Q95" s="3" t="n">
        <f aca="false">O95*D$3</f>
        <v>2.24828934506354</v>
      </c>
      <c r="R95" s="3" t="n">
        <f aca="false">(1/12)*L95</f>
        <v>2.25</v>
      </c>
      <c r="S95" s="4" t="n">
        <f aca="false">1/(Q95/R95)</f>
        <v>1.00076086956522</v>
      </c>
    </row>
    <row r="96" customFormat="false" ht="12.8" hidden="false" customHeight="false" outlineLevel="0" collapsed="false">
      <c r="L96" s="0" t="n">
        <v>26</v>
      </c>
      <c r="M96" s="0" t="n">
        <f aca="false">ROUND((1023/120)*L96,0)</f>
        <v>222</v>
      </c>
      <c r="N96" s="2" t="n">
        <v>11011110</v>
      </c>
      <c r="O96" s="3" t="n">
        <f aca="false">(IF(_xlfn.BITAND(M96,H$2)=H$2, G$2, 0)+IF(_xlfn.BITAND(M96,H$3)=H$3, G$3, 0)+IF(_xlfn.BITAND(M96,H$4)=H$4, G$4, 0)+IF(_xlfn.BITAND(M96,H$5)=H$5, G$5, 0)+IF(_xlfn.BITAND(M96,H$6)=H$6, G$6, 0)+IF(_xlfn.BITAND(M96,H$7)=H$7, G$7, 0)+IF(_xlfn.BITAND(M96,H$8)=H$8, G$8, 0)+IF(_xlfn.BITAND(M96,H$9)=H$9, G$9, 0)+IF(_xlfn.BITAND(M96,H$10)=H$10, G$10, 0)+IF(_xlfn.BITAND(M96,H$11)=H$11, G$11, 0))</f>
        <v>0.7154296875</v>
      </c>
      <c r="P96" s="3" t="n">
        <f aca="false">(G$12/120*L96)</f>
        <v>0.7143017578125</v>
      </c>
      <c r="Q96" s="3" t="n">
        <f aca="false">O96*D$3</f>
        <v>2.17008797653959</v>
      </c>
      <c r="R96" s="3" t="n">
        <f aca="false">(1/12)*L96</f>
        <v>2.16666666666667</v>
      </c>
      <c r="S96" s="4" t="n">
        <f aca="false">1/(Q96/R96)</f>
        <v>0.998423423423424</v>
      </c>
    </row>
    <row r="97" customFormat="false" ht="12.8" hidden="false" customHeight="false" outlineLevel="0" collapsed="false">
      <c r="L97" s="0" t="n">
        <v>25</v>
      </c>
      <c r="M97" s="0" t="n">
        <f aca="false">ROUND((1023/120)*L97,0)</f>
        <v>213</v>
      </c>
      <c r="N97" s="2" t="n">
        <v>11010101</v>
      </c>
      <c r="O97" s="3" t="n">
        <f aca="false">(IF(_xlfn.BITAND(M97,H$2)=H$2, G$2, 0)+IF(_xlfn.BITAND(M97,H$3)=H$3, G$3, 0)+IF(_xlfn.BITAND(M97,H$4)=H$4, G$4, 0)+IF(_xlfn.BITAND(M97,H$5)=H$5, G$5, 0)+IF(_xlfn.BITAND(M97,H$6)=H$6, G$6, 0)+IF(_xlfn.BITAND(M97,H$7)=H$7, G$7, 0)+IF(_xlfn.BITAND(M97,H$8)=H$8, G$8, 0)+IF(_xlfn.BITAND(M97,H$9)=H$9, G$9, 0)+IF(_xlfn.BITAND(M97,H$10)=H$10, G$10, 0)+IF(_xlfn.BITAND(M97,H$11)=H$11, G$11, 0))</f>
        <v>0.683203125</v>
      </c>
      <c r="P97" s="3" t="n">
        <f aca="false">(G$12/120*L97)</f>
        <v>0.68682861328125</v>
      </c>
      <c r="Q97" s="3" t="n">
        <f aca="false">O97*D$3</f>
        <v>2.07233626588465</v>
      </c>
      <c r="R97" s="3" t="n">
        <f aca="false">(1/12)*L97</f>
        <v>2.08333333333333</v>
      </c>
      <c r="S97" s="4" t="n">
        <f aca="false">1/(Q97/R97)</f>
        <v>1.00530660377359</v>
      </c>
    </row>
    <row r="98" customFormat="false" ht="12.8" hidden="false" customHeight="false" outlineLevel="0" collapsed="false">
      <c r="L98" s="0" t="n">
        <v>24</v>
      </c>
      <c r="M98" s="0" t="n">
        <f aca="false">ROUND((1023/120)*L98,0)</f>
        <v>205</v>
      </c>
      <c r="N98" s="2" t="n">
        <v>11001101</v>
      </c>
      <c r="O98" s="3" t="n">
        <f aca="false">(IF(_xlfn.BITAND(M98,H$2)=H$2, G$2, 0)+IF(_xlfn.BITAND(M98,H$3)=H$3, G$3, 0)+IF(_xlfn.BITAND(M98,H$4)=H$4, G$4, 0)+IF(_xlfn.BITAND(M98,H$5)=H$5, G$5, 0)+IF(_xlfn.BITAND(M98,H$6)=H$6, G$6, 0)+IF(_xlfn.BITAND(M98,H$7)=H$7, G$7, 0)+IF(_xlfn.BITAND(M98,H$8)=H$8, G$8, 0)+IF(_xlfn.BITAND(M98,H$9)=H$9, G$9, 0)+IF(_xlfn.BITAND(M98,H$10)=H$10, G$10, 0)+IF(_xlfn.BITAND(M98,H$11)=H$11, G$11, 0))</f>
        <v>0.657421875</v>
      </c>
      <c r="P98" s="3" t="n">
        <f aca="false">(G$12/120*L98)</f>
        <v>0.65935546875</v>
      </c>
      <c r="Q98" s="3" t="n">
        <f aca="false">O98*D$3</f>
        <v>1.9941348973607</v>
      </c>
      <c r="R98" s="3" t="n">
        <f aca="false">(1/12)*L98</f>
        <v>2</v>
      </c>
      <c r="S98" s="4" t="n">
        <f aca="false">1/(Q98/R98)</f>
        <v>1.00294117647059</v>
      </c>
    </row>
    <row r="99" customFormat="false" ht="12.8" hidden="false" customHeight="false" outlineLevel="0" collapsed="false">
      <c r="L99" s="0" t="n">
        <v>23</v>
      </c>
      <c r="M99" s="0" t="n">
        <f aca="false">ROUND((1023/120)*L99,0)</f>
        <v>196</v>
      </c>
      <c r="N99" s="2" t="n">
        <v>11000100</v>
      </c>
      <c r="O99" s="3" t="n">
        <f aca="false">(IF(_xlfn.BITAND(M99,H$2)=H$2, G$2, 0)+IF(_xlfn.BITAND(M99,H$3)=H$3, G$3, 0)+IF(_xlfn.BITAND(M99,H$4)=H$4, G$4, 0)+IF(_xlfn.BITAND(M99,H$5)=H$5, G$5, 0)+IF(_xlfn.BITAND(M99,H$6)=H$6, G$6, 0)+IF(_xlfn.BITAND(M99,H$7)=H$7, G$7, 0)+IF(_xlfn.BITAND(M99,H$8)=H$8, G$8, 0)+IF(_xlfn.BITAND(M99,H$9)=H$9, G$9, 0)+IF(_xlfn.BITAND(M99,H$10)=H$10, G$10, 0)+IF(_xlfn.BITAND(M99,H$11)=H$11, G$11, 0))</f>
        <v>0.631640625</v>
      </c>
      <c r="P99" s="3" t="n">
        <f aca="false">(G$12/120*L99)</f>
        <v>0.63188232421875</v>
      </c>
      <c r="Q99" s="3" t="n">
        <f aca="false">O99*D$3</f>
        <v>1.91593352883675</v>
      </c>
      <c r="R99" s="3" t="n">
        <f aca="false">(1/12)*L99</f>
        <v>1.91666666666667</v>
      </c>
      <c r="S99" s="4" t="n">
        <f aca="false">1/(Q99/R99)</f>
        <v>1.00038265306122</v>
      </c>
    </row>
    <row r="100" customFormat="false" ht="12.8" hidden="false" customHeight="false" outlineLevel="0" collapsed="false">
      <c r="L100" s="0" t="n">
        <v>22</v>
      </c>
      <c r="M100" s="0" t="n">
        <f aca="false">ROUND((1023/120)*L100,0)</f>
        <v>188</v>
      </c>
      <c r="N100" s="2" t="n">
        <v>10111100</v>
      </c>
      <c r="O100" s="3" t="n">
        <f aca="false">(IF(_xlfn.BITAND(M100,H$2)=H$2, G$2, 0)+IF(_xlfn.BITAND(M100,H$3)=H$3, G$3, 0)+IF(_xlfn.BITAND(M100,H$4)=H$4, G$4, 0)+IF(_xlfn.BITAND(M100,H$5)=H$5, G$5, 0)+IF(_xlfn.BITAND(M100,H$6)=H$6, G$6, 0)+IF(_xlfn.BITAND(M100,H$7)=H$7, G$7, 0)+IF(_xlfn.BITAND(M100,H$8)=H$8, G$8, 0)+IF(_xlfn.BITAND(M100,H$9)=H$9, G$9, 0)+IF(_xlfn.BITAND(M100,H$10)=H$10, G$10, 0)+IF(_xlfn.BITAND(M100,H$11)=H$11, G$11, 0))</f>
        <v>0.605859375</v>
      </c>
      <c r="P100" s="3" t="n">
        <f aca="false">(G$12/120*L100)</f>
        <v>0.6044091796875</v>
      </c>
      <c r="Q100" s="3" t="n">
        <f aca="false">O100*D$3</f>
        <v>1.83773216031281</v>
      </c>
      <c r="R100" s="3" t="n">
        <f aca="false">(1/12)*L100</f>
        <v>1.83333333333333</v>
      </c>
      <c r="S100" s="4" t="n">
        <f aca="false">1/(Q100/R100)</f>
        <v>0.997606382978723</v>
      </c>
    </row>
    <row r="101" customFormat="false" ht="12.8" hidden="false" customHeight="false" outlineLevel="0" collapsed="false">
      <c r="L101" s="0" t="n">
        <v>21</v>
      </c>
      <c r="M101" s="0" t="n">
        <f aca="false">ROUND((1023/120)*L101,0)</f>
        <v>179</v>
      </c>
      <c r="N101" s="2" t="n">
        <v>10110011</v>
      </c>
      <c r="O101" s="3" t="n">
        <f aca="false">(IF(_xlfn.BITAND(M101,H$2)=H$2, G$2, 0)+IF(_xlfn.BITAND(M101,H$3)=H$3, G$3, 0)+IF(_xlfn.BITAND(M101,H$4)=H$4, G$4, 0)+IF(_xlfn.BITAND(M101,H$5)=H$5, G$5, 0)+IF(_xlfn.BITAND(M101,H$6)=H$6, G$6, 0)+IF(_xlfn.BITAND(M101,H$7)=H$7, G$7, 0)+IF(_xlfn.BITAND(M101,H$8)=H$8, G$8, 0)+IF(_xlfn.BITAND(M101,H$9)=H$9, G$9, 0)+IF(_xlfn.BITAND(M101,H$10)=H$10, G$10, 0)+IF(_xlfn.BITAND(M101,H$11)=H$11, G$11, 0))</f>
        <v>0.5736328125</v>
      </c>
      <c r="P101" s="3" t="n">
        <f aca="false">(G$12/120*L101)</f>
        <v>0.57693603515625</v>
      </c>
      <c r="Q101" s="3" t="n">
        <f aca="false">O101*D$3</f>
        <v>1.73998044965787</v>
      </c>
      <c r="R101" s="3" t="n">
        <f aca="false">(1/12)*L101</f>
        <v>1.75</v>
      </c>
      <c r="S101" s="4" t="n">
        <f aca="false">1/(Q101/R101)</f>
        <v>1.00575842696629</v>
      </c>
    </row>
    <row r="102" customFormat="false" ht="12.8" hidden="false" customHeight="false" outlineLevel="0" collapsed="false">
      <c r="L102" s="0" t="n">
        <v>20</v>
      </c>
      <c r="M102" s="0" t="n">
        <f aca="false">ROUND((1023/120)*L102,0)</f>
        <v>171</v>
      </c>
      <c r="N102" s="2" t="n">
        <v>10101011</v>
      </c>
      <c r="O102" s="3" t="n">
        <f aca="false">(IF(_xlfn.BITAND(M102,H$2)=H$2, G$2, 0)+IF(_xlfn.BITAND(M102,H$3)=H$3, G$3, 0)+IF(_xlfn.BITAND(M102,H$4)=H$4, G$4, 0)+IF(_xlfn.BITAND(M102,H$5)=H$5, G$5, 0)+IF(_xlfn.BITAND(M102,H$6)=H$6, G$6, 0)+IF(_xlfn.BITAND(M102,H$7)=H$7, G$7, 0)+IF(_xlfn.BITAND(M102,H$8)=H$8, G$8, 0)+IF(_xlfn.BITAND(M102,H$9)=H$9, G$9, 0)+IF(_xlfn.BITAND(M102,H$10)=H$10, G$10, 0)+IF(_xlfn.BITAND(M102,H$11)=H$11, G$11, 0))</f>
        <v>0.5478515625</v>
      </c>
      <c r="P102" s="3" t="n">
        <f aca="false">(G$12/120*L102)</f>
        <v>0.549462890625</v>
      </c>
      <c r="Q102" s="3" t="n">
        <f aca="false">O102*D$3</f>
        <v>1.66177908113392</v>
      </c>
      <c r="R102" s="3" t="n">
        <f aca="false">(1/12)*L102</f>
        <v>1.66666666666667</v>
      </c>
      <c r="S102" s="4" t="n">
        <f aca="false">1/(Q102/R102)</f>
        <v>1.00294117647059</v>
      </c>
    </row>
    <row r="103" customFormat="false" ht="12.8" hidden="false" customHeight="false" outlineLevel="0" collapsed="false">
      <c r="L103" s="0" t="n">
        <v>19</v>
      </c>
      <c r="M103" s="0" t="n">
        <f aca="false">ROUND((1023/120)*L103,0)</f>
        <v>162</v>
      </c>
      <c r="N103" s="2" t="n">
        <v>10100010</v>
      </c>
      <c r="O103" s="3" t="n">
        <f aca="false">(IF(_xlfn.BITAND(M103,H$2)=H$2, G$2, 0)+IF(_xlfn.BITAND(M103,H$3)=H$3, G$3, 0)+IF(_xlfn.BITAND(M103,H$4)=H$4, G$4, 0)+IF(_xlfn.BITAND(M103,H$5)=H$5, G$5, 0)+IF(_xlfn.BITAND(M103,H$6)=H$6, G$6, 0)+IF(_xlfn.BITAND(M103,H$7)=H$7, G$7, 0)+IF(_xlfn.BITAND(M103,H$8)=H$8, G$8, 0)+IF(_xlfn.BITAND(M103,H$9)=H$9, G$9, 0)+IF(_xlfn.BITAND(M103,H$10)=H$10, G$10, 0)+IF(_xlfn.BITAND(M103,H$11)=H$11, G$11, 0))</f>
        <v>0.5220703125</v>
      </c>
      <c r="P103" s="3" t="n">
        <f aca="false">(G$12/120*L103)</f>
        <v>0.52198974609375</v>
      </c>
      <c r="Q103" s="3" t="n">
        <f aca="false">O103*D$3</f>
        <v>1.58357771260997</v>
      </c>
      <c r="R103" s="3" t="n">
        <f aca="false">(1/12)*L103</f>
        <v>1.58333333333333</v>
      </c>
      <c r="S103" s="4" t="n">
        <f aca="false">1/(Q103/R103)</f>
        <v>0.999845679012346</v>
      </c>
    </row>
    <row r="104" customFormat="false" ht="12.8" hidden="false" customHeight="false" outlineLevel="0" collapsed="false">
      <c r="L104" s="0" t="n">
        <v>18</v>
      </c>
      <c r="M104" s="0" t="n">
        <f aca="false">ROUND((1023/120)*L104,0)</f>
        <v>153</v>
      </c>
      <c r="N104" s="2" t="n">
        <v>10011001</v>
      </c>
      <c r="O104" s="3" t="n">
        <f aca="false">(IF(_xlfn.BITAND(M104,H$2)=H$2, G$2, 0)+IF(_xlfn.BITAND(M104,H$3)=H$3, G$3, 0)+IF(_xlfn.BITAND(M104,H$4)=H$4, G$4, 0)+IF(_xlfn.BITAND(M104,H$5)=H$5, G$5, 0)+IF(_xlfn.BITAND(M104,H$6)=H$6, G$6, 0)+IF(_xlfn.BITAND(M104,H$7)=H$7, G$7, 0)+IF(_xlfn.BITAND(M104,H$8)=H$8, G$8, 0)+IF(_xlfn.BITAND(M104,H$9)=H$9, G$9, 0)+IF(_xlfn.BITAND(M104,H$10)=H$10, G$10, 0)+IF(_xlfn.BITAND(M104,H$11)=H$11, G$11, 0))</f>
        <v>0.48984375</v>
      </c>
      <c r="P104" s="3" t="n">
        <f aca="false">(G$12/120*L104)</f>
        <v>0.4945166015625</v>
      </c>
      <c r="Q104" s="3" t="n">
        <f aca="false">O104*D$3</f>
        <v>1.48582600195503</v>
      </c>
      <c r="R104" s="3" t="n">
        <f aca="false">(1/12)*L104</f>
        <v>1.5</v>
      </c>
      <c r="S104" s="4" t="n">
        <f aca="false">1/(Q104/R104)</f>
        <v>1.00953947368421</v>
      </c>
    </row>
    <row r="105" customFormat="false" ht="12.8" hidden="false" customHeight="false" outlineLevel="0" collapsed="false">
      <c r="L105" s="0" t="n">
        <v>17</v>
      </c>
      <c r="M105" s="0" t="n">
        <f aca="false">ROUND((1023/120)*L105,0)</f>
        <v>145</v>
      </c>
      <c r="N105" s="2" t="n">
        <v>10010001</v>
      </c>
      <c r="O105" s="3" t="n">
        <f aca="false">(IF(_xlfn.BITAND(M105,H$2)=H$2, G$2, 0)+IF(_xlfn.BITAND(M105,H$3)=H$3, G$3, 0)+IF(_xlfn.BITAND(M105,H$4)=H$4, G$4, 0)+IF(_xlfn.BITAND(M105,H$5)=H$5, G$5, 0)+IF(_xlfn.BITAND(M105,H$6)=H$6, G$6, 0)+IF(_xlfn.BITAND(M105,H$7)=H$7, G$7, 0)+IF(_xlfn.BITAND(M105,H$8)=H$8, G$8, 0)+IF(_xlfn.BITAND(M105,H$9)=H$9, G$9, 0)+IF(_xlfn.BITAND(M105,H$10)=H$10, G$10, 0)+IF(_xlfn.BITAND(M105,H$11)=H$11, G$11, 0))</f>
        <v>0.4640625</v>
      </c>
      <c r="P105" s="3" t="n">
        <f aca="false">(G$12/120*L105)</f>
        <v>0.46704345703125</v>
      </c>
      <c r="Q105" s="3" t="n">
        <f aca="false">O105*D$3</f>
        <v>1.40762463343109</v>
      </c>
      <c r="R105" s="3" t="n">
        <f aca="false">(1/12)*L105</f>
        <v>1.41666666666667</v>
      </c>
      <c r="S105" s="4" t="n">
        <f aca="false">1/(Q105/R105)</f>
        <v>1.00642361111111</v>
      </c>
    </row>
    <row r="106" customFormat="false" ht="12.8" hidden="false" customHeight="false" outlineLevel="0" collapsed="false">
      <c r="L106" s="0" t="n">
        <v>16</v>
      </c>
      <c r="M106" s="0" t="n">
        <f aca="false">ROUND((1023/120)*L106,0)</f>
        <v>136</v>
      </c>
      <c r="N106" s="2" t="n">
        <v>10001000</v>
      </c>
      <c r="O106" s="3" t="n">
        <f aca="false">(IF(_xlfn.BITAND(M106,H$2)=H$2, G$2, 0)+IF(_xlfn.BITAND(M106,H$3)=H$3, G$3, 0)+IF(_xlfn.BITAND(M106,H$4)=H$4, G$4, 0)+IF(_xlfn.BITAND(M106,H$5)=H$5, G$5, 0)+IF(_xlfn.BITAND(M106,H$6)=H$6, G$6, 0)+IF(_xlfn.BITAND(M106,H$7)=H$7, G$7, 0)+IF(_xlfn.BITAND(M106,H$8)=H$8, G$8, 0)+IF(_xlfn.BITAND(M106,H$9)=H$9, G$9, 0)+IF(_xlfn.BITAND(M106,H$10)=H$10, G$10, 0)+IF(_xlfn.BITAND(M106,H$11)=H$11, G$11, 0))</f>
        <v>0.43828125</v>
      </c>
      <c r="P106" s="3" t="n">
        <f aca="false">(G$12/120*L106)</f>
        <v>0.4395703125</v>
      </c>
      <c r="Q106" s="3" t="n">
        <f aca="false">O106*D$3</f>
        <v>1.32942326490714</v>
      </c>
      <c r="R106" s="3" t="n">
        <f aca="false">(1/12)*L106</f>
        <v>1.33333333333333</v>
      </c>
      <c r="S106" s="4" t="n">
        <f aca="false">1/(Q106/R106)</f>
        <v>1.00294117647059</v>
      </c>
    </row>
    <row r="107" customFormat="false" ht="12.8" hidden="false" customHeight="false" outlineLevel="0" collapsed="false">
      <c r="L107" s="0" t="n">
        <v>15</v>
      </c>
      <c r="M107" s="0" t="n">
        <f aca="false">ROUND((1023/120)*L107,0)</f>
        <v>128</v>
      </c>
      <c r="N107" s="2" t="n">
        <v>10000000</v>
      </c>
      <c r="O107" s="3" t="n">
        <f aca="false">(IF(_xlfn.BITAND(M107,H$2)=H$2, G$2, 0)+IF(_xlfn.BITAND(M107,H$3)=H$3, G$3, 0)+IF(_xlfn.BITAND(M107,H$4)=H$4, G$4, 0)+IF(_xlfn.BITAND(M107,H$5)=H$5, G$5, 0)+IF(_xlfn.BITAND(M107,H$6)=H$6, G$6, 0)+IF(_xlfn.BITAND(M107,H$7)=H$7, G$7, 0)+IF(_xlfn.BITAND(M107,H$8)=H$8, G$8, 0)+IF(_xlfn.BITAND(M107,H$9)=H$9, G$9, 0)+IF(_xlfn.BITAND(M107,H$10)=H$10, G$10, 0)+IF(_xlfn.BITAND(M107,H$11)=H$11, G$11, 0))</f>
        <v>0.4125</v>
      </c>
      <c r="P107" s="3" t="n">
        <f aca="false">(G$12/120*L107)</f>
        <v>0.41209716796875</v>
      </c>
      <c r="Q107" s="3" t="n">
        <f aca="false">O107*D$3</f>
        <v>1.25122189638319</v>
      </c>
      <c r="R107" s="3" t="n">
        <f aca="false">(1/12)*L107</f>
        <v>1.25</v>
      </c>
      <c r="S107" s="4" t="n">
        <f aca="false">1/(Q107/R107)</f>
        <v>0.9990234375</v>
      </c>
    </row>
    <row r="108" customFormat="false" ht="12.8" hidden="false" customHeight="false" outlineLevel="0" collapsed="false">
      <c r="L108" s="0" t="n">
        <v>14</v>
      </c>
      <c r="M108" s="0" t="n">
        <f aca="false">ROUND((1023/120)*L108,0)</f>
        <v>119</v>
      </c>
      <c r="N108" s="2" t="n">
        <v>1110111</v>
      </c>
      <c r="O108" s="3" t="n">
        <f aca="false">(IF(_xlfn.BITAND(M108,H$2)=H$2, G$2, 0)+IF(_xlfn.BITAND(M108,H$3)=H$3, G$3, 0)+IF(_xlfn.BITAND(M108,H$4)=H$4, G$4, 0)+IF(_xlfn.BITAND(M108,H$5)=H$5, G$5, 0)+IF(_xlfn.BITAND(M108,H$6)=H$6, G$6, 0)+IF(_xlfn.BITAND(M108,H$7)=H$7, G$7, 0)+IF(_xlfn.BITAND(M108,H$8)=H$8, G$8, 0)+IF(_xlfn.BITAND(M108,H$9)=H$9, G$9, 0)+IF(_xlfn.BITAND(M108,H$10)=H$10, G$10, 0)+IF(_xlfn.BITAND(M108,H$11)=H$11, G$11, 0))</f>
        <v>0.3802734375</v>
      </c>
      <c r="P108" s="3" t="n">
        <f aca="false">(G$12/120*L108)</f>
        <v>0.3846240234375</v>
      </c>
      <c r="Q108" s="3" t="n">
        <f aca="false">O108*D$3</f>
        <v>1.15347018572825</v>
      </c>
      <c r="R108" s="3" t="n">
        <f aca="false">(1/12)*L108</f>
        <v>1.16666666666667</v>
      </c>
      <c r="S108" s="4" t="n">
        <f aca="false">1/(Q108/R108)</f>
        <v>1.0114406779661</v>
      </c>
    </row>
    <row r="109" customFormat="false" ht="12.8" hidden="false" customHeight="false" outlineLevel="0" collapsed="false">
      <c r="L109" s="0" t="n">
        <v>13</v>
      </c>
      <c r="M109" s="0" t="n">
        <f aca="false">ROUND((1023/120)*L109,0)</f>
        <v>111</v>
      </c>
      <c r="N109" s="2" t="n">
        <v>1101111</v>
      </c>
      <c r="O109" s="3" t="n">
        <f aca="false">(IF(_xlfn.BITAND(M109,H$2)=H$2, G$2, 0)+IF(_xlfn.BITAND(M109,H$3)=H$3, G$3, 0)+IF(_xlfn.BITAND(M109,H$4)=H$4, G$4, 0)+IF(_xlfn.BITAND(M109,H$5)=H$5, G$5, 0)+IF(_xlfn.BITAND(M109,H$6)=H$6, G$6, 0)+IF(_xlfn.BITAND(M109,H$7)=H$7, G$7, 0)+IF(_xlfn.BITAND(M109,H$8)=H$8, G$8, 0)+IF(_xlfn.BITAND(M109,H$9)=H$9, G$9, 0)+IF(_xlfn.BITAND(M109,H$10)=H$10, G$10, 0)+IF(_xlfn.BITAND(M109,H$11)=H$11, G$11, 0))</f>
        <v>0.3544921875</v>
      </c>
      <c r="P109" s="3" t="n">
        <f aca="false">(G$12/120*L109)</f>
        <v>0.35715087890625</v>
      </c>
      <c r="Q109" s="3" t="n">
        <f aca="false">O109*D$3</f>
        <v>1.0752688172043</v>
      </c>
      <c r="R109" s="3" t="n">
        <f aca="false">(1/12)*L109</f>
        <v>1.08333333333333</v>
      </c>
      <c r="S109" s="4" t="n">
        <f aca="false">1/(Q109/R109)</f>
        <v>1.0075</v>
      </c>
    </row>
    <row r="110" customFormat="false" ht="12.8" hidden="false" customHeight="false" outlineLevel="0" collapsed="false">
      <c r="L110" s="0" t="n">
        <v>12</v>
      </c>
      <c r="M110" s="0" t="n">
        <f aca="false">ROUND((1023/120)*L110,0)</f>
        <v>102</v>
      </c>
      <c r="N110" s="2" t="n">
        <v>1100110</v>
      </c>
      <c r="O110" s="3" t="n">
        <f aca="false">(IF(_xlfn.BITAND(M110,H$2)=H$2, G$2, 0)+IF(_xlfn.BITAND(M110,H$3)=H$3, G$3, 0)+IF(_xlfn.BITAND(M110,H$4)=H$4, G$4, 0)+IF(_xlfn.BITAND(M110,H$5)=H$5, G$5, 0)+IF(_xlfn.BITAND(M110,H$6)=H$6, G$6, 0)+IF(_xlfn.BITAND(M110,H$7)=H$7, G$7, 0)+IF(_xlfn.BITAND(M110,H$8)=H$8, G$8, 0)+IF(_xlfn.BITAND(M110,H$9)=H$9, G$9, 0)+IF(_xlfn.BITAND(M110,H$10)=H$10, G$10, 0)+IF(_xlfn.BITAND(M110,H$11)=H$11, G$11, 0))</f>
        <v>0.3287109375</v>
      </c>
      <c r="P110" s="3" t="n">
        <f aca="false">(G$12/120*L110)</f>
        <v>0.329677734375</v>
      </c>
      <c r="Q110" s="3" t="n">
        <f aca="false">O110*D$3</f>
        <v>0.997067448680352</v>
      </c>
      <c r="R110" s="3" t="n">
        <f aca="false">(1/12)*L110</f>
        <v>1</v>
      </c>
      <c r="S110" s="4" t="n">
        <f aca="false">1/(Q110/R110)</f>
        <v>1.00294117647059</v>
      </c>
    </row>
    <row r="111" customFormat="false" ht="12.8" hidden="false" customHeight="false" outlineLevel="0" collapsed="false">
      <c r="L111" s="0" t="n">
        <v>11</v>
      </c>
      <c r="M111" s="0" t="n">
        <f aca="false">ROUND((1023/120)*L111,0)</f>
        <v>94</v>
      </c>
      <c r="N111" s="2" t="n">
        <v>1011110</v>
      </c>
      <c r="O111" s="3" t="n">
        <f aca="false">(IF(_xlfn.BITAND(M111,H$2)=H$2, G$2, 0)+IF(_xlfn.BITAND(M111,H$3)=H$3, G$3, 0)+IF(_xlfn.BITAND(M111,H$4)=H$4, G$4, 0)+IF(_xlfn.BITAND(M111,H$5)=H$5, G$5, 0)+IF(_xlfn.BITAND(M111,H$6)=H$6, G$6, 0)+IF(_xlfn.BITAND(M111,H$7)=H$7, G$7, 0)+IF(_xlfn.BITAND(M111,H$8)=H$8, G$8, 0)+IF(_xlfn.BITAND(M111,H$9)=H$9, G$9, 0)+IF(_xlfn.BITAND(M111,H$10)=H$10, G$10, 0)+IF(_xlfn.BITAND(M111,H$11)=H$11, G$11, 0))</f>
        <v>0.3029296875</v>
      </c>
      <c r="P111" s="3" t="n">
        <f aca="false">(G$12/120*L111)</f>
        <v>0.30220458984375</v>
      </c>
      <c r="Q111" s="3" t="n">
        <f aca="false">O111*D$3</f>
        <v>0.918866080156403</v>
      </c>
      <c r="R111" s="3" t="n">
        <f aca="false">(1/12)*L111</f>
        <v>0.916666666666667</v>
      </c>
      <c r="S111" s="4" t="n">
        <f aca="false">1/(Q111/R111)</f>
        <v>0.997606382978723</v>
      </c>
    </row>
    <row r="112" customFormat="false" ht="12.8" hidden="false" customHeight="false" outlineLevel="0" collapsed="false">
      <c r="L112" s="0" t="n">
        <v>10</v>
      </c>
      <c r="M112" s="0" t="n">
        <f aca="false">ROUND((1023/120)*L112,0)</f>
        <v>85</v>
      </c>
      <c r="N112" s="2" t="n">
        <v>1010101</v>
      </c>
      <c r="O112" s="3" t="n">
        <f aca="false">(IF(_xlfn.BITAND(M112,H$2)=H$2, G$2, 0)+IF(_xlfn.BITAND(M112,H$3)=H$3, G$3, 0)+IF(_xlfn.BITAND(M112,H$4)=H$4, G$4, 0)+IF(_xlfn.BITAND(M112,H$5)=H$5, G$5, 0)+IF(_xlfn.BITAND(M112,H$6)=H$6, G$6, 0)+IF(_xlfn.BITAND(M112,H$7)=H$7, G$7, 0)+IF(_xlfn.BITAND(M112,H$8)=H$8, G$8, 0)+IF(_xlfn.BITAND(M112,H$9)=H$9, G$9, 0)+IF(_xlfn.BITAND(M112,H$10)=H$10, G$10, 0)+IF(_xlfn.BITAND(M112,H$11)=H$11, G$11, 0))</f>
        <v>0.270703125</v>
      </c>
      <c r="P112" s="3" t="n">
        <f aca="false">(G$12/120*L112)</f>
        <v>0.2747314453125</v>
      </c>
      <c r="Q112" s="3" t="n">
        <f aca="false">O112*D$3</f>
        <v>0.821114369501466</v>
      </c>
      <c r="R112" s="3" t="n">
        <f aca="false">(1/12)*L112</f>
        <v>0.833333333333333</v>
      </c>
      <c r="S112" s="4" t="n">
        <f aca="false">1/(Q112/R112)</f>
        <v>1.01488095238095</v>
      </c>
    </row>
    <row r="113" customFormat="false" ht="12.8" hidden="false" customHeight="false" outlineLevel="0" collapsed="false">
      <c r="L113" s="0" t="n">
        <v>9</v>
      </c>
      <c r="M113" s="0" t="n">
        <f aca="false">ROUND((1023/120)*L113,0)</f>
        <v>77</v>
      </c>
      <c r="N113" s="2" t="n">
        <v>1001101</v>
      </c>
      <c r="O113" s="3" t="n">
        <f aca="false">(IF(_xlfn.BITAND(M113,H$2)=H$2, G$2, 0)+IF(_xlfn.BITAND(M113,H$3)=H$3, G$3, 0)+IF(_xlfn.BITAND(M113,H$4)=H$4, G$4, 0)+IF(_xlfn.BITAND(M113,H$5)=H$5, G$5, 0)+IF(_xlfn.BITAND(M113,H$6)=H$6, G$6, 0)+IF(_xlfn.BITAND(M113,H$7)=H$7, G$7, 0)+IF(_xlfn.BITAND(M113,H$8)=H$8, G$8, 0)+IF(_xlfn.BITAND(M113,H$9)=H$9, G$9, 0)+IF(_xlfn.BITAND(M113,H$10)=H$10, G$10, 0)+IF(_xlfn.BITAND(M113,H$11)=H$11, G$11, 0))</f>
        <v>0.244921875</v>
      </c>
      <c r="P113" s="3" t="n">
        <f aca="false">(G$12/120*L113)</f>
        <v>0.24725830078125</v>
      </c>
      <c r="Q113" s="3" t="n">
        <f aca="false">O113*D$3</f>
        <v>0.742913000977517</v>
      </c>
      <c r="R113" s="3" t="n">
        <f aca="false">(1/12)*L113</f>
        <v>0.75</v>
      </c>
      <c r="S113" s="4" t="n">
        <f aca="false">1/(Q113/R113)</f>
        <v>1.00953947368421</v>
      </c>
    </row>
    <row r="114" customFormat="false" ht="12.8" hidden="false" customHeight="false" outlineLevel="0" collapsed="false">
      <c r="L114" s="0" t="n">
        <v>8</v>
      </c>
      <c r="M114" s="0" t="n">
        <f aca="false">ROUND((1023/120)*L114,0)</f>
        <v>68</v>
      </c>
      <c r="N114" s="2" t="n">
        <v>1000100</v>
      </c>
      <c r="O114" s="3" t="n">
        <f aca="false">(IF(_xlfn.BITAND(M114,H$2)=H$2, G$2, 0)+IF(_xlfn.BITAND(M114,H$3)=H$3, G$3, 0)+IF(_xlfn.BITAND(M114,H$4)=H$4, G$4, 0)+IF(_xlfn.BITAND(M114,H$5)=H$5, G$5, 0)+IF(_xlfn.BITAND(M114,H$6)=H$6, G$6, 0)+IF(_xlfn.BITAND(M114,H$7)=H$7, G$7, 0)+IF(_xlfn.BITAND(M114,H$8)=H$8, G$8, 0)+IF(_xlfn.BITAND(M114,H$9)=H$9, G$9, 0)+IF(_xlfn.BITAND(M114,H$10)=H$10, G$10, 0)+IF(_xlfn.BITAND(M114,H$11)=H$11, G$11, 0))</f>
        <v>0.219140625</v>
      </c>
      <c r="P114" s="3" t="n">
        <f aca="false">(G$12/120*L114)</f>
        <v>0.21978515625</v>
      </c>
      <c r="Q114" s="3" t="n">
        <f aca="false">O114*D$3</f>
        <v>0.664711632453568</v>
      </c>
      <c r="R114" s="3" t="n">
        <f aca="false">(1/12)*L114</f>
        <v>0.666666666666667</v>
      </c>
      <c r="S114" s="4" t="n">
        <f aca="false">1/(Q114/R114)</f>
        <v>1.00294117647059</v>
      </c>
    </row>
    <row r="115" customFormat="false" ht="12.8" hidden="false" customHeight="false" outlineLevel="0" collapsed="false">
      <c r="L115" s="0" t="n">
        <v>7</v>
      </c>
      <c r="M115" s="0" t="n">
        <f aca="false">ROUND((1023/120)*L115,0)</f>
        <v>60</v>
      </c>
      <c r="N115" s="2" t="n">
        <v>111100</v>
      </c>
      <c r="O115" s="3" t="n">
        <f aca="false">(IF(_xlfn.BITAND(M115,H$2)=H$2, G$2, 0)+IF(_xlfn.BITAND(M115,H$3)=H$3, G$3, 0)+IF(_xlfn.BITAND(M115,H$4)=H$4, G$4, 0)+IF(_xlfn.BITAND(M115,H$5)=H$5, G$5, 0)+IF(_xlfn.BITAND(M115,H$6)=H$6, G$6, 0)+IF(_xlfn.BITAND(M115,H$7)=H$7, G$7, 0)+IF(_xlfn.BITAND(M115,H$8)=H$8, G$8, 0)+IF(_xlfn.BITAND(M115,H$9)=H$9, G$9, 0)+IF(_xlfn.BITAND(M115,H$10)=H$10, G$10, 0)+IF(_xlfn.BITAND(M115,H$11)=H$11, G$11, 0))</f>
        <v>0.193359375</v>
      </c>
      <c r="P115" s="3" t="n">
        <f aca="false">(G$12/120*L115)</f>
        <v>0.19231201171875</v>
      </c>
      <c r="Q115" s="3" t="n">
        <f aca="false">O115*D$3</f>
        <v>0.586510263929619</v>
      </c>
      <c r="R115" s="3" t="n">
        <f aca="false">(1/12)*L115</f>
        <v>0.583333333333333</v>
      </c>
      <c r="S115" s="4" t="n">
        <f aca="false">1/(Q115/R115)</f>
        <v>0.994583333333333</v>
      </c>
    </row>
    <row r="116" customFormat="false" ht="12.8" hidden="false" customHeight="false" outlineLevel="0" collapsed="false">
      <c r="L116" s="0" t="n">
        <v>6</v>
      </c>
      <c r="M116" s="0" t="n">
        <f aca="false">ROUND((1023/120)*L116,0)</f>
        <v>51</v>
      </c>
      <c r="N116" s="2" t="n">
        <v>110011</v>
      </c>
      <c r="O116" s="3" t="n">
        <f aca="false">(IF(_xlfn.BITAND(M116,H$2)=H$2, G$2, 0)+IF(_xlfn.BITAND(M116,H$3)=H$3, G$3, 0)+IF(_xlfn.BITAND(M116,H$4)=H$4, G$4, 0)+IF(_xlfn.BITAND(M116,H$5)=H$5, G$5, 0)+IF(_xlfn.BITAND(M116,H$6)=H$6, G$6, 0)+IF(_xlfn.BITAND(M116,H$7)=H$7, G$7, 0)+IF(_xlfn.BITAND(M116,H$8)=H$8, G$8, 0)+IF(_xlfn.BITAND(M116,H$9)=H$9, G$9, 0)+IF(_xlfn.BITAND(M116,H$10)=H$10, G$10, 0)+IF(_xlfn.BITAND(M116,H$11)=H$11, G$11, 0))</f>
        <v>0.1611328125</v>
      </c>
      <c r="P116" s="3" t="n">
        <f aca="false">(G$12/120*L116)</f>
        <v>0.1648388671875</v>
      </c>
      <c r="Q116" s="3" t="n">
        <f aca="false">O116*D$3</f>
        <v>0.488758553274682</v>
      </c>
      <c r="R116" s="3" t="n">
        <f aca="false">(1/12)*L116</f>
        <v>0.5</v>
      </c>
      <c r="S116" s="4" t="n">
        <f aca="false">1/(Q116/R116)</f>
        <v>1.023</v>
      </c>
    </row>
    <row r="117" customFormat="false" ht="12.8" hidden="false" customHeight="false" outlineLevel="0" collapsed="false">
      <c r="L117" s="0" t="n">
        <v>5</v>
      </c>
      <c r="M117" s="0" t="n">
        <f aca="false">ROUND((1023/120)*L117,0)</f>
        <v>43</v>
      </c>
      <c r="N117" s="2" t="n">
        <v>101011</v>
      </c>
      <c r="O117" s="3" t="n">
        <f aca="false">(IF(_xlfn.BITAND(M117,H$2)=H$2, G$2, 0)+IF(_xlfn.BITAND(M117,H$3)=H$3, G$3, 0)+IF(_xlfn.BITAND(M117,H$4)=H$4, G$4, 0)+IF(_xlfn.BITAND(M117,H$5)=H$5, G$5, 0)+IF(_xlfn.BITAND(M117,H$6)=H$6, G$6, 0)+IF(_xlfn.BITAND(M117,H$7)=H$7, G$7, 0)+IF(_xlfn.BITAND(M117,H$8)=H$8, G$8, 0)+IF(_xlfn.BITAND(M117,H$9)=H$9, G$9, 0)+IF(_xlfn.BITAND(M117,H$10)=H$10, G$10, 0)+IF(_xlfn.BITAND(M117,H$11)=H$11, G$11, 0))</f>
        <v>0.1353515625</v>
      </c>
      <c r="P117" s="3" t="n">
        <f aca="false">(G$12/120*L117)</f>
        <v>0.13736572265625</v>
      </c>
      <c r="Q117" s="3" t="n">
        <f aca="false">O117*D$3</f>
        <v>0.410557184750733</v>
      </c>
      <c r="R117" s="3" t="n">
        <f aca="false">(1/12)*L117</f>
        <v>0.416666666666667</v>
      </c>
      <c r="S117" s="4" t="n">
        <f aca="false">1/(Q117/R117)</f>
        <v>1.01488095238095</v>
      </c>
    </row>
    <row r="118" customFormat="false" ht="12.8" hidden="false" customHeight="false" outlineLevel="0" collapsed="false">
      <c r="L118" s="0" t="n">
        <v>4</v>
      </c>
      <c r="M118" s="0" t="n">
        <f aca="false">ROUND((1023/120)*L118,0)</f>
        <v>34</v>
      </c>
      <c r="N118" s="2" t="n">
        <v>100010</v>
      </c>
      <c r="O118" s="3" t="n">
        <f aca="false">(IF(_xlfn.BITAND(M118,H$2)=H$2, G$2, 0)+IF(_xlfn.BITAND(M118,H$3)=H$3, G$3, 0)+IF(_xlfn.BITAND(M118,H$4)=H$4, G$4, 0)+IF(_xlfn.BITAND(M118,H$5)=H$5, G$5, 0)+IF(_xlfn.BITAND(M118,H$6)=H$6, G$6, 0)+IF(_xlfn.BITAND(M118,H$7)=H$7, G$7, 0)+IF(_xlfn.BITAND(M118,H$8)=H$8, G$8, 0)+IF(_xlfn.BITAND(M118,H$9)=H$9, G$9, 0)+IF(_xlfn.BITAND(M118,H$10)=H$10, G$10, 0)+IF(_xlfn.BITAND(M118,H$11)=H$11, G$11, 0))</f>
        <v>0.1095703125</v>
      </c>
      <c r="P118" s="3" t="n">
        <f aca="false">(G$12/120*L118)</f>
        <v>0.109892578125</v>
      </c>
      <c r="Q118" s="3" t="n">
        <f aca="false">O118*D$3</f>
        <v>0.332355816226784</v>
      </c>
      <c r="R118" s="3" t="n">
        <f aca="false">(1/12)*L118</f>
        <v>0.333333333333333</v>
      </c>
      <c r="S118" s="4" t="n">
        <f aca="false">1/(Q118/R118)</f>
        <v>1.00294117647059</v>
      </c>
    </row>
    <row r="119" customFormat="false" ht="12.8" hidden="false" customHeight="false" outlineLevel="0" collapsed="false">
      <c r="L119" s="0" t="n">
        <v>3</v>
      </c>
      <c r="M119" s="0" t="n">
        <f aca="false">ROUND((1023/120)*L119,0)</f>
        <v>26</v>
      </c>
      <c r="N119" s="2" t="n">
        <v>11010</v>
      </c>
      <c r="O119" s="3" t="n">
        <f aca="false">(IF(_xlfn.BITAND(M119,H$2)=H$2, G$2, 0)+IF(_xlfn.BITAND(M119,H$3)=H$3, G$3, 0)+IF(_xlfn.BITAND(M119,H$4)=H$4, G$4, 0)+IF(_xlfn.BITAND(M119,H$5)=H$5, G$5, 0)+IF(_xlfn.BITAND(M119,H$6)=H$6, G$6, 0)+IF(_xlfn.BITAND(M119,H$7)=H$7, G$7, 0)+IF(_xlfn.BITAND(M119,H$8)=H$8, G$8, 0)+IF(_xlfn.BITAND(M119,H$9)=H$9, G$9, 0)+IF(_xlfn.BITAND(M119,H$10)=H$10, G$10, 0)+IF(_xlfn.BITAND(M119,H$11)=H$11, G$11, 0))</f>
        <v>0.0837890625</v>
      </c>
      <c r="P119" s="3" t="n">
        <f aca="false">(G$12/120*L119)</f>
        <v>0.08241943359375</v>
      </c>
      <c r="Q119" s="3" t="n">
        <f aca="false">O119*D$3</f>
        <v>0.254154447702835</v>
      </c>
      <c r="R119" s="3" t="n">
        <f aca="false">(1/12)*L119</f>
        <v>0.25</v>
      </c>
      <c r="S119" s="4" t="n">
        <f aca="false">1/(Q119/R119)</f>
        <v>0.983653846153846</v>
      </c>
    </row>
    <row r="120" customFormat="false" ht="12.8" hidden="false" customHeight="false" outlineLevel="0" collapsed="false">
      <c r="L120" s="0" t="n">
        <v>2</v>
      </c>
      <c r="M120" s="0" t="n">
        <f aca="false">ROUND((1023/120)*L120,0)</f>
        <v>17</v>
      </c>
      <c r="N120" s="2" t="n">
        <v>10001</v>
      </c>
      <c r="O120" s="3" t="n">
        <f aca="false">(IF(_xlfn.BITAND(M120,H$2)=H$2, G$2, 0)+IF(_xlfn.BITAND(M120,H$3)=H$3, G$3, 0)+IF(_xlfn.BITAND(M120,H$4)=H$4, G$4, 0)+IF(_xlfn.BITAND(M120,H$5)=H$5, G$5, 0)+IF(_xlfn.BITAND(M120,H$6)=H$6, G$6, 0)+IF(_xlfn.BITAND(M120,H$7)=H$7, G$7, 0)+IF(_xlfn.BITAND(M120,H$8)=H$8, G$8, 0)+IF(_xlfn.BITAND(M120,H$9)=H$9, G$9, 0)+IF(_xlfn.BITAND(M120,H$10)=H$10, G$10, 0)+IF(_xlfn.BITAND(M120,H$11)=H$11, G$11, 0))</f>
        <v>0.0515625</v>
      </c>
      <c r="P120" s="3" t="n">
        <f aca="false">(G$12/120*L120)</f>
        <v>0.0549462890625</v>
      </c>
      <c r="Q120" s="3" t="n">
        <f aca="false">O120*D$3</f>
        <v>0.156402737047898</v>
      </c>
      <c r="R120" s="3" t="n">
        <f aca="false">(1/12)*L120</f>
        <v>0.166666666666667</v>
      </c>
      <c r="S120" s="4" t="n">
        <f aca="false">1/(Q120/R120)</f>
        <v>1.065625</v>
      </c>
    </row>
    <row r="121" customFormat="false" ht="12.8" hidden="false" customHeight="false" outlineLevel="0" collapsed="false">
      <c r="L121" s="0" t="n">
        <v>1</v>
      </c>
      <c r="M121" s="0" t="n">
        <f aca="false">ROUND((1023/120)*L121,0)</f>
        <v>9</v>
      </c>
      <c r="N121" s="2" t="n">
        <v>1001</v>
      </c>
      <c r="O121" s="3" t="n">
        <f aca="false">(IF(_xlfn.BITAND(M121,H$2)=H$2, G$2, 0)+IF(_xlfn.BITAND(M121,H$3)=H$3, G$3, 0)+IF(_xlfn.BITAND(M121,H$4)=H$4, G$4, 0)+IF(_xlfn.BITAND(M121,H$5)=H$5, G$5, 0)+IF(_xlfn.BITAND(M121,H$6)=H$6, G$6, 0)+IF(_xlfn.BITAND(M121,H$7)=H$7, G$7, 0)+IF(_xlfn.BITAND(M121,H$8)=H$8, G$8, 0)+IF(_xlfn.BITAND(M121,H$9)=H$9, G$9, 0)+IF(_xlfn.BITAND(M121,H$10)=H$10, G$10, 0)+IF(_xlfn.BITAND(M121,H$11)=H$11, G$11, 0))</f>
        <v>0.02578125</v>
      </c>
      <c r="P121" s="3" t="n">
        <f aca="false">(G$12/120*L121)</f>
        <v>0.02747314453125</v>
      </c>
      <c r="Q121" s="3" t="n">
        <f aca="false">O121*D$3</f>
        <v>0.0782013685239492</v>
      </c>
      <c r="R121" s="3" t="n">
        <f aca="false">(1/12)*L121</f>
        <v>0.0833333333333333</v>
      </c>
      <c r="S121" s="4" t="n">
        <f aca="false">1/(Q121/R121)</f>
        <v>1.065625</v>
      </c>
    </row>
    <row r="122" customFormat="false" ht="12.8" hidden="false" customHeight="false" outlineLevel="0" collapsed="false">
      <c r="L122" s="0" t="n">
        <v>0</v>
      </c>
      <c r="M122" s="0" t="n">
        <f aca="false">ROUND((1023/120)*L122,0)</f>
        <v>0</v>
      </c>
      <c r="N122" s="2" t="n">
        <v>0</v>
      </c>
      <c r="O122" s="3" t="n">
        <f aca="false">(IF(_xlfn.BITAND(M122,H$2)=H$2, G$2, 0)+IF(_xlfn.BITAND(M122,H$3)=H$3, G$3, 0)+IF(_xlfn.BITAND(M122,H$4)=H$4, G$4, 0)+IF(_xlfn.BITAND(M122,H$5)=H$5, G$5, 0)+IF(_xlfn.BITAND(M122,H$6)=H$6, G$6, 0)+IF(_xlfn.BITAND(M122,H$7)=H$7, G$7, 0)+IF(_xlfn.BITAND(M122,H$8)=H$8, G$8, 0)+IF(_xlfn.BITAND(M122,H$9)=H$9, G$9, 0)+IF(_xlfn.BITAND(M122,H$10)=H$10, G$10, 0)+IF(_xlfn.BITAND(M122,H$11)=H$11, G$11, 0))</f>
        <v>0</v>
      </c>
      <c r="P122" s="3" t="n">
        <f aca="false">(G$12/120*L122)</f>
        <v>0</v>
      </c>
      <c r="Q122" s="3" t="n">
        <f aca="false">O122*D$3</f>
        <v>0</v>
      </c>
      <c r="R122" s="3" t="n">
        <f aca="false">(1/12)*L122</f>
        <v>0</v>
      </c>
      <c r="S122" s="4" t="n">
        <v>1</v>
      </c>
    </row>
    <row r="123" customFormat="false" ht="12.8" hidden="false" customHeight="false" outlineLevel="0" collapsed="false">
      <c r="P123" s="0"/>
      <c r="Q123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&amp;C&amp;"DejaVu Serif,Book"&amp;12&amp;A</oddHeader>
    <oddFooter>&amp;C&amp;"DejaVu Serif,Book"&amp;12Page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2026-05-01T14:08:01Z</dcterms:created>
  <dc:creator/>
  <dc:description/>
  <dc:language>en-US</dc:language>
  <cp:lastModifiedBy/>
  <dcterms:modified xsi:type="dcterms:W3CDTF">2026-05-01T18:39:27Z</dcterms:modified>
  <cp:revision>3</cp:revision>
  <dc:subject/>
  <dc:title/>
</cp:coreProperties>
</file>